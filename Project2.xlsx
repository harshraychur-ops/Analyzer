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pivotTables/pivotTable6.xml" ContentType="application/vnd.openxmlformats-officedocument.spreadsheetml.pivotTable+xml"/>
  <Override PartName="/xl/tables/table3.xml" ContentType="application/vnd.openxmlformats-officedocument.spreadsheetml.tab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harsh\Desktop\Excel\Labwork\"/>
    </mc:Choice>
  </mc:AlternateContent>
  <xr:revisionPtr revIDLastSave="0" documentId="13_ncr:1_{B78F9FF5-04BC-4774-8828-1ADEDD8A2BF7}" xr6:coauthVersionLast="47" xr6:coauthVersionMax="47" xr10:uidLastSave="{00000000-0000-0000-0000-000000000000}"/>
  <bookViews>
    <workbookView xWindow="-110" yWindow="-110" windowWidth="19420" windowHeight="10420" firstSheet="8" activeTab="14" xr2:uid="{94084AF6-4B7D-4C99-8455-45C0A585C245}"/>
  </bookViews>
  <sheets>
    <sheet name="Linear Regression" sheetId="14" r:id="rId1"/>
    <sheet name="Descriptive Statistics" sheetId="15" r:id="rId2"/>
    <sheet name="Conditional Formatting" sheetId="1" r:id="rId3"/>
    <sheet name="What-if" sheetId="5" r:id="rId4"/>
    <sheet name="Pivot Table" sheetId="18" r:id="rId5"/>
    <sheet name="Pie Chart" sheetId="21" r:id="rId6"/>
    <sheet name="Bar Chart" sheetId="22" r:id="rId7"/>
    <sheet name="Donut Chart" sheetId="25" r:id="rId8"/>
    <sheet name="Line Chart" sheetId="23" r:id="rId9"/>
    <sheet name="Data" sheetId="7" r:id="rId10"/>
    <sheet name="Sheet12" sheetId="30" r:id="rId11"/>
    <sheet name="monthly sales growth" sheetId="9" r:id="rId12"/>
    <sheet name="Now()" sheetId="16" r:id="rId13"/>
    <sheet name="Top 10" sheetId="17" r:id="rId14"/>
    <sheet name="Dash" sheetId="27" r:id="rId15"/>
    <sheet name="Sheet10" sheetId="28" r:id="rId16"/>
  </sheets>
  <definedNames>
    <definedName name="Sales_Data">#REF!</definedName>
    <definedName name="Slicer_Product_Category">#N/A</definedName>
    <definedName name="Slicer_Quarters">#N/A</definedName>
    <definedName name="Slicer_Region">#N/A</definedName>
  </definedNames>
  <calcPr calcId="191029"/>
  <pivotCaches>
    <pivotCache cacheId="0" r:id="rId17"/>
    <pivotCache cacheId="1" r:id="rId18"/>
    <pivotCache cacheId="13" r:id="rId19"/>
  </pivotCaches>
  <extLs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06" i="17" l="1"/>
  <c r="C206" i="17"/>
  <c r="B206" i="17"/>
  <c r="J2" i="9"/>
  <c r="J201" i="17"/>
  <c r="J200" i="17"/>
  <c r="J199" i="17"/>
  <c r="J198" i="17"/>
  <c r="J197" i="17"/>
  <c r="J196" i="17"/>
  <c r="J195" i="17"/>
  <c r="J194" i="17"/>
  <c r="J193" i="17"/>
  <c r="J192" i="17"/>
  <c r="J191" i="17"/>
  <c r="J190" i="17"/>
  <c r="J189" i="17"/>
  <c r="J188" i="17"/>
  <c r="J187" i="17"/>
  <c r="J186" i="17"/>
  <c r="J185" i="17"/>
  <c r="J184" i="17"/>
  <c r="J183" i="17"/>
  <c r="J182" i="17"/>
  <c r="J181" i="17"/>
  <c r="J180" i="17"/>
  <c r="J179" i="17"/>
  <c r="J178" i="17"/>
  <c r="J177" i="17"/>
  <c r="J176" i="17"/>
  <c r="J175" i="17"/>
  <c r="J174" i="17"/>
  <c r="J173" i="17"/>
  <c r="J172" i="17"/>
  <c r="J171" i="17"/>
  <c r="J170" i="17"/>
  <c r="J169" i="17"/>
  <c r="J168" i="17"/>
  <c r="J167" i="17"/>
  <c r="J166" i="17"/>
  <c r="J165" i="17"/>
  <c r="J164" i="17"/>
  <c r="J163" i="17"/>
  <c r="J162" i="17"/>
  <c r="J161" i="17"/>
  <c r="J160" i="17"/>
  <c r="J159" i="17"/>
  <c r="J158" i="17"/>
  <c r="J157" i="17"/>
  <c r="J156" i="17"/>
  <c r="J155" i="17"/>
  <c r="J154" i="17"/>
  <c r="J153" i="17"/>
  <c r="J152" i="17"/>
  <c r="J151" i="17"/>
  <c r="J150" i="17"/>
  <c r="J149" i="17"/>
  <c r="J148" i="17"/>
  <c r="J147" i="17"/>
  <c r="J146" i="17"/>
  <c r="J145" i="17"/>
  <c r="J144" i="17"/>
  <c r="J143" i="17"/>
  <c r="J142" i="17"/>
  <c r="J141" i="17"/>
  <c r="J140" i="17"/>
  <c r="J139" i="17"/>
  <c r="J138" i="17"/>
  <c r="J137" i="17"/>
  <c r="J136" i="17"/>
  <c r="J135" i="17"/>
  <c r="J134" i="17"/>
  <c r="J133" i="17"/>
  <c r="J132" i="17"/>
  <c r="J131" i="17"/>
  <c r="J130" i="17"/>
  <c r="J129" i="17"/>
  <c r="J128" i="17"/>
  <c r="J127" i="17"/>
  <c r="J126" i="17"/>
  <c r="J125" i="17"/>
  <c r="J124" i="17"/>
  <c r="J123" i="17"/>
  <c r="J122" i="17"/>
  <c r="J121" i="17"/>
  <c r="J120" i="17"/>
  <c r="J119" i="17"/>
  <c r="J118" i="17"/>
  <c r="J117" i="17"/>
  <c r="J116" i="17"/>
  <c r="J115" i="17"/>
  <c r="J114" i="17"/>
  <c r="J113" i="17"/>
  <c r="J112" i="17"/>
  <c r="J111" i="17"/>
  <c r="J110" i="17"/>
  <c r="J109" i="17"/>
  <c r="J108" i="17"/>
  <c r="J107" i="17"/>
  <c r="J106" i="17"/>
  <c r="J105" i="17"/>
  <c r="J104" i="17"/>
  <c r="J103" i="17"/>
  <c r="J102" i="17"/>
  <c r="J101" i="17"/>
  <c r="J100" i="17"/>
  <c r="J99" i="17"/>
  <c r="J98" i="17"/>
  <c r="J97" i="17"/>
  <c r="J96" i="17"/>
  <c r="J95" i="17"/>
  <c r="J94" i="17"/>
  <c r="J93" i="17"/>
  <c r="J92" i="17"/>
  <c r="J91" i="17"/>
  <c r="J90" i="17"/>
  <c r="J89" i="17"/>
  <c r="J88" i="17"/>
  <c r="J87" i="17"/>
  <c r="J86" i="17"/>
  <c r="J85" i="17"/>
  <c r="J84" i="17"/>
  <c r="J83" i="17"/>
  <c r="J82" i="17"/>
  <c r="J81" i="17"/>
  <c r="J80" i="17"/>
  <c r="J79" i="17"/>
  <c r="J78" i="17"/>
  <c r="J77" i="17"/>
  <c r="J76" i="17"/>
  <c r="J75" i="17"/>
  <c r="J74" i="17"/>
  <c r="J73" i="17"/>
  <c r="J72" i="17"/>
  <c r="J71" i="17"/>
  <c r="J70" i="17"/>
  <c r="J69" i="17"/>
  <c r="J68" i="17"/>
  <c r="J67" i="17"/>
  <c r="J66" i="17"/>
  <c r="J65" i="17"/>
  <c r="J64" i="17"/>
  <c r="J63" i="17"/>
  <c r="J62" i="17"/>
  <c r="J61" i="17"/>
  <c r="J60" i="17"/>
  <c r="J59" i="17"/>
  <c r="J58" i="17"/>
  <c r="J57" i="17"/>
  <c r="J56" i="17"/>
  <c r="J55" i="17"/>
  <c r="J54" i="17"/>
  <c r="J53" i="17"/>
  <c r="J52" i="17"/>
  <c r="J51" i="17"/>
  <c r="J50" i="17"/>
  <c r="J49" i="17"/>
  <c r="J48" i="17"/>
  <c r="J47" i="17"/>
  <c r="J46" i="17"/>
  <c r="J45" i="17"/>
  <c r="J44" i="17"/>
  <c r="J43" i="17"/>
  <c r="J42" i="17"/>
  <c r="J41" i="17"/>
  <c r="J40" i="17"/>
  <c r="J39" i="17"/>
  <c r="J38" i="17"/>
  <c r="J37" i="17"/>
  <c r="J36" i="17"/>
  <c r="J35" i="17"/>
  <c r="J34" i="17"/>
  <c r="J33" i="17"/>
  <c r="J32" i="17"/>
  <c r="J31" i="17"/>
  <c r="J30" i="17"/>
  <c r="J29" i="17"/>
  <c r="J28" i="17"/>
  <c r="J27" i="17"/>
  <c r="J26" i="17"/>
  <c r="J25" i="17"/>
  <c r="J24" i="17"/>
  <c r="J23" i="17"/>
  <c r="J22" i="17"/>
  <c r="J21" i="17"/>
  <c r="J20" i="17"/>
  <c r="J19" i="17"/>
  <c r="J18" i="17"/>
  <c r="J17" i="17"/>
  <c r="J16" i="17"/>
  <c r="J15" i="17"/>
  <c r="J14" i="17"/>
  <c r="J13" i="17"/>
  <c r="J12" i="17"/>
  <c r="J11" i="17"/>
  <c r="J10" i="17"/>
  <c r="J9" i="17"/>
  <c r="J8" i="17"/>
  <c r="J7" i="17"/>
  <c r="J6" i="17"/>
  <c r="J5" i="17"/>
  <c r="J4" i="17"/>
  <c r="J3" i="17"/>
  <c r="J2" i="17"/>
  <c r="J3" i="16"/>
  <c r="J4" i="16"/>
  <c r="J5" i="16"/>
  <c r="J6" i="16"/>
  <c r="J7" i="16"/>
  <c r="J8" i="16"/>
  <c r="J9" i="16"/>
  <c r="J10" i="16"/>
  <c r="J11" i="16"/>
  <c r="J12" i="16"/>
  <c r="J13" i="16"/>
  <c r="J14" i="16"/>
  <c r="J15" i="16"/>
  <c r="J16" i="16"/>
  <c r="J17" i="16"/>
  <c r="J18" i="16"/>
  <c r="J19" i="16"/>
  <c r="J20" i="16"/>
  <c r="J21" i="16"/>
  <c r="J22" i="16"/>
  <c r="J23" i="16"/>
  <c r="J24" i="16"/>
  <c r="J25" i="16"/>
  <c r="J26" i="16"/>
  <c r="J27" i="16"/>
  <c r="J28" i="16"/>
  <c r="J29" i="16"/>
  <c r="J30" i="16"/>
  <c r="J31" i="16"/>
  <c r="J32" i="16"/>
  <c r="J33" i="16"/>
  <c r="J34" i="16"/>
  <c r="J35" i="16"/>
  <c r="J36" i="16"/>
  <c r="J37" i="16"/>
  <c r="J38" i="16"/>
  <c r="J39" i="16"/>
  <c r="J40" i="16"/>
  <c r="J41" i="16"/>
  <c r="J42" i="16"/>
  <c r="J43" i="16"/>
  <c r="J44" i="16"/>
  <c r="J45" i="16"/>
  <c r="J46" i="16"/>
  <c r="J47" i="16"/>
  <c r="J48" i="16"/>
  <c r="J49" i="16"/>
  <c r="J50" i="16"/>
  <c r="J51" i="16"/>
  <c r="J52" i="16"/>
  <c r="J53" i="16"/>
  <c r="J54" i="16"/>
  <c r="J55" i="16"/>
  <c r="J56" i="16"/>
  <c r="J57" i="16"/>
  <c r="J58" i="16"/>
  <c r="J59" i="16"/>
  <c r="J60" i="16"/>
  <c r="J61" i="16"/>
  <c r="J62" i="16"/>
  <c r="J63" i="16"/>
  <c r="J64" i="16"/>
  <c r="J65" i="16"/>
  <c r="J66" i="16"/>
  <c r="J67" i="16"/>
  <c r="J68" i="16"/>
  <c r="J69" i="16"/>
  <c r="J70" i="16"/>
  <c r="J71" i="16"/>
  <c r="J72" i="16"/>
  <c r="J73" i="16"/>
  <c r="J74" i="16"/>
  <c r="J75" i="16"/>
  <c r="J76" i="16"/>
  <c r="J77" i="16"/>
  <c r="J78" i="16"/>
  <c r="J79" i="16"/>
  <c r="J80" i="16"/>
  <c r="J81" i="16"/>
  <c r="J82" i="16"/>
  <c r="J83" i="16"/>
  <c r="J84" i="16"/>
  <c r="J85" i="16"/>
  <c r="J86" i="16"/>
  <c r="J87" i="16"/>
  <c r="J88" i="16"/>
  <c r="J89" i="16"/>
  <c r="J90" i="16"/>
  <c r="J91" i="16"/>
  <c r="J92" i="16"/>
  <c r="J93" i="16"/>
  <c r="J94" i="16"/>
  <c r="J95" i="16"/>
  <c r="J96" i="16"/>
  <c r="J97" i="16"/>
  <c r="J98" i="16"/>
  <c r="J99" i="16"/>
  <c r="J100" i="16"/>
  <c r="J101" i="16"/>
  <c r="J102" i="16"/>
  <c r="J103" i="16"/>
  <c r="J104" i="16"/>
  <c r="J105" i="16"/>
  <c r="J106" i="16"/>
  <c r="J107" i="16"/>
  <c r="J108" i="16"/>
  <c r="J109" i="16"/>
  <c r="J110" i="16"/>
  <c r="J111" i="16"/>
  <c r="J112" i="16"/>
  <c r="J113" i="16"/>
  <c r="J114" i="16"/>
  <c r="J115" i="16"/>
  <c r="J116" i="16"/>
  <c r="J117" i="16"/>
  <c r="J118" i="16"/>
  <c r="J119" i="16"/>
  <c r="J120" i="16"/>
  <c r="J121" i="16"/>
  <c r="J122" i="16"/>
  <c r="J123" i="16"/>
  <c r="J124" i="16"/>
  <c r="J125" i="16"/>
  <c r="J126" i="16"/>
  <c r="J127" i="16"/>
  <c r="J128" i="16"/>
  <c r="J129" i="16"/>
  <c r="J130" i="16"/>
  <c r="J131" i="16"/>
  <c r="J132" i="16"/>
  <c r="J133" i="16"/>
  <c r="J134" i="16"/>
  <c r="J135" i="16"/>
  <c r="J136" i="16"/>
  <c r="J137" i="16"/>
  <c r="J138" i="16"/>
  <c r="J139" i="16"/>
  <c r="J140" i="16"/>
  <c r="J141" i="16"/>
  <c r="J142" i="16"/>
  <c r="J143" i="16"/>
  <c r="J144" i="16"/>
  <c r="J145" i="16"/>
  <c r="J146" i="16"/>
  <c r="J147" i="16"/>
  <c r="J148" i="16"/>
  <c r="J149" i="16"/>
  <c r="J150" i="16"/>
  <c r="J151" i="16"/>
  <c r="J152" i="16"/>
  <c r="J153" i="16"/>
  <c r="J154" i="16"/>
  <c r="J155" i="16"/>
  <c r="J156" i="16"/>
  <c r="J157" i="16"/>
  <c r="J158" i="16"/>
  <c r="J159" i="16"/>
  <c r="J160" i="16"/>
  <c r="J161" i="16"/>
  <c r="J162" i="16"/>
  <c r="J163" i="16"/>
  <c r="J164" i="16"/>
  <c r="J165" i="16"/>
  <c r="J166" i="16"/>
  <c r="J167" i="16"/>
  <c r="J168" i="16"/>
  <c r="J169" i="16"/>
  <c r="J170" i="16"/>
  <c r="J171" i="16"/>
  <c r="J172" i="16"/>
  <c r="J173" i="16"/>
  <c r="J174" i="16"/>
  <c r="J175" i="16"/>
  <c r="J176" i="16"/>
  <c r="J177" i="16"/>
  <c r="J178" i="16"/>
  <c r="J179" i="16"/>
  <c r="J180" i="16"/>
  <c r="J181" i="16"/>
  <c r="J182" i="16"/>
  <c r="J183" i="16"/>
  <c r="J184" i="16"/>
  <c r="J185" i="16"/>
  <c r="J186" i="16"/>
  <c r="J187" i="16"/>
  <c r="J188" i="16"/>
  <c r="J189" i="16"/>
  <c r="J190" i="16"/>
  <c r="J191" i="16"/>
  <c r="J192" i="16"/>
  <c r="J193" i="16"/>
  <c r="J194" i="16"/>
  <c r="J195" i="16"/>
  <c r="J196" i="16"/>
  <c r="J197" i="16"/>
  <c r="J198" i="16"/>
  <c r="J199" i="16"/>
  <c r="J200" i="16"/>
  <c r="J201" i="16"/>
  <c r="J2" i="16"/>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151" i="9"/>
  <c r="J152" i="9"/>
  <c r="J153" i="9"/>
  <c r="J154" i="9"/>
  <c r="J155" i="9"/>
  <c r="J156" i="9"/>
  <c r="J157" i="9"/>
  <c r="J158" i="9"/>
  <c r="J159" i="9"/>
  <c r="J160" i="9"/>
  <c r="J161" i="9"/>
  <c r="J162" i="9"/>
  <c r="J163" i="9"/>
  <c r="J164" i="9"/>
  <c r="J165" i="9"/>
  <c r="J166" i="9"/>
  <c r="J167" i="9"/>
  <c r="J168" i="9"/>
  <c r="J169" i="9"/>
  <c r="J170" i="9"/>
  <c r="J171" i="9"/>
  <c r="J172" i="9"/>
  <c r="J173" i="9"/>
  <c r="J174" i="9"/>
  <c r="J175" i="9"/>
  <c r="J176" i="9"/>
  <c r="J177" i="9"/>
  <c r="J178" i="9"/>
  <c r="J179" i="9"/>
  <c r="J180" i="9"/>
  <c r="J181" i="9"/>
  <c r="J182" i="9"/>
  <c r="J183" i="9"/>
  <c r="J184" i="9"/>
  <c r="J185" i="9"/>
  <c r="J186" i="9"/>
  <c r="J187" i="9"/>
  <c r="J188" i="9"/>
  <c r="J189" i="9"/>
  <c r="J190" i="9"/>
  <c r="J191" i="9"/>
  <c r="J192" i="9"/>
  <c r="J193" i="9"/>
  <c r="J194" i="9"/>
  <c r="J195" i="9"/>
  <c r="J196" i="9"/>
  <c r="J197" i="9"/>
  <c r="J198" i="9"/>
  <c r="J199" i="9"/>
  <c r="J200" i="9"/>
  <c r="J201" i="9"/>
  <c r="J12" i="9"/>
  <c r="J13" i="9"/>
  <c r="J14" i="9"/>
  <c r="J15" i="9"/>
  <c r="J3" i="9"/>
  <c r="J4" i="9"/>
  <c r="J5" i="9"/>
  <c r="J6" i="9"/>
  <c r="J7" i="9"/>
  <c r="J8" i="9"/>
  <c r="J9" i="9"/>
  <c r="J10" i="9"/>
  <c r="J11" i="9"/>
  <c r="P10" i="27"/>
  <c r="P6" i="27"/>
  <c r="O20" i="9"/>
  <c r="O16" i="9"/>
  <c r="O12" i="9"/>
  <c r="O15" i="9"/>
  <c r="O11" i="9"/>
  <c r="O17" i="9"/>
  <c r="O19" i="9"/>
  <c r="O9" i="9"/>
  <c r="O18" i="9"/>
  <c r="O14" i="9"/>
  <c r="O10" i="9"/>
  <c r="O13" i="9"/>
  <c r="I202" i="5" l="1"/>
  <c r="M4" i="5" s="1"/>
  <c r="M5" i="5" s="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alcChain>
</file>

<file path=xl/sharedStrings.xml><?xml version="1.0" encoding="utf-8"?>
<sst xmlns="http://schemas.openxmlformats.org/spreadsheetml/2006/main" count="6818" uniqueCount="156">
  <si>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</si>
  <si>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</si>
  <si>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</si>
  <si>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</si>
  <si>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</si>
  <si>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</si>
  <si>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</si>
  <si>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</si>
  <si>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</si>
  <si>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</si>
  <si>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</si>
  <si>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</si>
  <si>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</si>
  <si>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</si>
  <si>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</si>
  <si>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</si>
  <si>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</si>
  <si>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</si>
  <si>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</si>
  <si>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</si>
  <si>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</si>
  <si>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</si>
  <si>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</si>
  <si>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</si>
  <si>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</si>
  <si>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</si>
  <si>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</si>
  <si>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</si>
  <si>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</si>
  <si>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</si>
  <si>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</si>
  <si>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</si>
  <si>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</si>
  <si>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</si>
  <si>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</si>
  <si>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</si>
  <si>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</si>
  <si>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</si>
  <si>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</si>
  <si>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</si>
  <si>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</si>
  <si>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</si>
  <si>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</si>
  <si>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</si>
  <si>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</si>
  <si>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</si>
  <si>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</si>
  <si>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</si>
  <si>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</si>
  <si>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</si>
  <si>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</si>
  <si>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</si>
  <si>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</si>
  <si>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</si>
  <si>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</si>
  <si>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</si>
  <si>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</si>
  <si>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</si>
  <si>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</si>
  <si>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</si>
  <si>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</si>
  <si>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</si>
  <si>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</si>
  <si>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</si>
  <si>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</si>
  <si>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</si>
  <si>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</si>
  <si>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</si>
  <si>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</si>
  <si>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</si>
  <si>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</si>
  <si>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</si>
  <si>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</si>
  <si>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</si>
  <si>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</si>
  <si>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</si>
  <si>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Total Purchase</t>
  </si>
  <si>
    <t>Row Labels</t>
  </si>
  <si>
    <t>Grand Total</t>
  </si>
  <si>
    <t>Sum of Sales</t>
  </si>
  <si>
    <t>Growth</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</si>
  <si>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</si>
  <si>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</si>
  <si>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</si>
  <si>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</si>
  <si>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</si>
  <si>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</si>
  <si>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</si>
  <si>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</si>
  <si>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</si>
  <si>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</si>
  <si>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</si>
  <si>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</si>
  <si>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</si>
  <si>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</si>
  <si>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</si>
  <si>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</si>
  <si>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</si>
  <si>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</si>
  <si>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</si>
  <si>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</si>
  <si>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</si>
  <si>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</si>
  <si>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</si>
  <si>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</si>
  <si>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</si>
  <si>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Mean</t>
  </si>
  <si>
    <t>Median</t>
  </si>
  <si>
    <t>Mode</t>
  </si>
  <si>
    <t>Standard Deviation</t>
  </si>
  <si>
    <t>Sample Variance</t>
  </si>
  <si>
    <t>Kurtosis</t>
  </si>
  <si>
    <t>Skewness</t>
  </si>
  <si>
    <t>Range</t>
  </si>
  <si>
    <t>Minimum</t>
  </si>
  <si>
    <t>Maximum</t>
  </si>
  <si>
    <t>Sum</t>
  </si>
  <si>
    <t>Count</t>
  </si>
  <si>
    <t>Month</t>
  </si>
  <si>
    <t>Apr-2024</t>
  </si>
  <si>
    <t>Apr-2025</t>
  </si>
  <si>
    <t>Aug-2024</t>
  </si>
  <si>
    <t>Dec-2024</t>
  </si>
  <si>
    <t>Feb-2025</t>
  </si>
  <si>
    <t>Jan-2025</t>
  </si>
  <si>
    <t>Jul-2024</t>
  </si>
  <si>
    <t>Jun-2024</t>
  </si>
  <si>
    <t>Mar-2025</t>
  </si>
  <si>
    <t>May-2024</t>
  </si>
  <si>
    <t>Nov-2024</t>
  </si>
  <si>
    <t>Oct-2024</t>
  </si>
  <si>
    <t>Sep-2024</t>
  </si>
  <si>
    <t>TimeStamp</t>
  </si>
  <si>
    <t xml:space="preserve">Id </t>
  </si>
  <si>
    <t>Name</t>
  </si>
  <si>
    <t>Purchase</t>
  </si>
  <si>
    <t>Top Customer Using Index and Match</t>
  </si>
  <si>
    <t>2024</t>
  </si>
  <si>
    <t>Apr</t>
  </si>
  <si>
    <t>May</t>
  </si>
  <si>
    <t>Jun</t>
  </si>
  <si>
    <t>Jul</t>
  </si>
  <si>
    <t>Aug</t>
  </si>
  <si>
    <t>Sep</t>
  </si>
  <si>
    <t>Oct</t>
  </si>
  <si>
    <t>Nov</t>
  </si>
  <si>
    <t>Dec</t>
  </si>
  <si>
    <t>2025</t>
  </si>
  <si>
    <t>Jan</t>
  </si>
  <si>
    <t>Feb</t>
  </si>
  <si>
    <t>Mar</t>
  </si>
  <si>
    <t>Sum of Quantity</t>
  </si>
  <si>
    <t>Sum of Profit</t>
  </si>
  <si>
    <t>Sales Dashboard</t>
  </si>
  <si>
    <t>Total Profit</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</si>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</sst>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theme="1"/>
      <name val="Calibri"/>
      <family val="2"/>
      <scheme val="minor"/>
    </font>
    <font>
      <i/>
      <sz val="11"/>
      <color theme="1"/>
      <name val="Calibri"/>
      <family val="2"/>
      <scheme val="minor"/>
    </font>
    <font>
      <b/>
      <sz val="18"/>
      <color theme="1"/>
      <name val="Calibri"/>
      <family val="2"/>
      <scheme val="minor"/>
    </font>
    <font>
      <b/>
      <sz val="24"/>
      <color theme="1"/>
      <name val="Calibri"/>
      <family val="2"/>
      <scheme val="minor"/>
    </font>
    <font>
      <b/>
      <sz val="20"/>
      <color theme="1"/>
      <name val="Calibri"/>
      <family val="2"/>
      <scheme val="minor"/>
    </font>
  </fonts>
  <fills count="7">
    <fill>
      <patternFill patternType="none"/>
    </fill>
    <fill>
      <patternFill patternType="gray125"/>
    </fill>
    <fill>
      <patternFill patternType="solid">
        <fgColor theme="5" tint="0.59999389629810485"/>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0"/>
        <bgColor indexed="64"/>
      </patternFill>
    </fill>
  </fills>
  <borders count="16">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style="medium">
        <color rgb="FFCCCCCC"/>
      </left>
      <right style="medium">
        <color rgb="FFCCCCCC"/>
      </right>
      <top/>
      <bottom/>
      <diagonal/>
    </border>
    <border>
      <left/>
      <right/>
      <top style="thin">
        <color indexed="64"/>
      </top>
      <bottom/>
      <diagonal/>
    </border>
  </borders>
  <cellStyleXfs count="2">
    <xf numFmtId="0" fontId="0" fillId="0" borderId="0"/>
    <xf numFmtId="9" fontId="2" fillId="0" borderId="0" applyFont="0" applyFill="0" applyBorder="0" applyAlignment="0" applyProtection="0"/>
  </cellStyleXfs>
  <cellXfs count="60">
    <xf numFmtId="0" fontId="0" fillId="0" borderId="0" xfId="0"/>
    <xf numFmtId="0" fontId="0" fillId="0" borderId="1" xfId="0" applyBorder="1" applyAlignment="1">
      <alignment wrapText="1"/>
    </xf>
    <xf numFmtId="0" fontId="0" fillId="0" borderId="1" xfId="0" applyBorder="1" applyAlignment="1">
      <alignment horizontal="right" wrapText="1"/>
    </xf>
    <xf numFmtId="14" fontId="0" fillId="0" borderId="1" xfId="0" applyNumberFormat="1" applyBorder="1" applyAlignment="1">
      <alignment horizontal="right" wrapText="1"/>
    </xf>
    <xf numFmtId="0" fontId="0" fillId="0" borderId="2" xfId="0" applyBorder="1" applyAlignment="1">
      <alignment wrapText="1"/>
    </xf>
    <xf numFmtId="0" fontId="0" fillId="0" borderId="3" xfId="0" applyBorder="1" applyAlignment="1">
      <alignment horizontal="right" wrapText="1"/>
    </xf>
    <xf numFmtId="0" fontId="1" fillId="0" borderId="4" xfId="0" applyFont="1" applyBorder="1" applyAlignment="1">
      <alignment wrapText="1"/>
    </xf>
    <xf numFmtId="0" fontId="1" fillId="0" borderId="5" xfId="0" applyFont="1" applyBorder="1" applyAlignment="1">
      <alignment wrapText="1"/>
    </xf>
    <xf numFmtId="0" fontId="1" fillId="0" borderId="6" xfId="0" applyFont="1"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8" xfId="0" applyBorder="1" applyAlignment="1">
      <alignment horizontal="right" wrapText="1"/>
    </xf>
    <xf numFmtId="14" fontId="0" fillId="0" borderId="8" xfId="0" applyNumberFormat="1" applyBorder="1" applyAlignment="1">
      <alignment horizontal="right" wrapText="1"/>
    </xf>
    <xf numFmtId="0" fontId="0" fillId="0" borderId="9" xfId="0" applyBorder="1" applyAlignment="1">
      <alignment horizontal="right" wrapText="1"/>
    </xf>
    <xf numFmtId="9" fontId="0" fillId="0" borderId="0" xfId="0" applyNumberFormat="1"/>
    <xf numFmtId="0" fontId="0" fillId="0" borderId="5" xfId="0" applyBorder="1" applyAlignment="1">
      <alignment horizontal="right" wrapText="1"/>
    </xf>
    <xf numFmtId="0" fontId="1" fillId="0" borderId="1" xfId="0" applyFont="1" applyBorder="1" applyAlignment="1">
      <alignment wrapText="1"/>
    </xf>
    <xf numFmtId="0" fontId="1" fillId="0" borderId="0" xfId="0" applyFont="1" applyFill="1" applyBorder="1" applyAlignment="1">
      <alignment wrapText="1"/>
    </xf>
    <xf numFmtId="0" fontId="0" fillId="0" borderId="0" xfId="0" applyNumberFormat="1"/>
    <xf numFmtId="0" fontId="0" fillId="0" borderId="0" xfId="0" pivotButton="1"/>
    <xf numFmtId="0" fontId="0" fillId="0" borderId="10" xfId="0" applyFill="1" applyBorder="1" applyAlignment="1">
      <alignment horizontal="right" wrapText="1"/>
    </xf>
    <xf numFmtId="2" fontId="0" fillId="0" borderId="0" xfId="0" applyNumberFormat="1"/>
    <xf numFmtId="0" fontId="0" fillId="0" borderId="0" xfId="0" applyAlignment="1">
      <alignment horizontal="left"/>
    </xf>
    <xf numFmtId="2" fontId="0" fillId="2" borderId="11" xfId="0" applyNumberFormat="1" applyFill="1" applyBorder="1"/>
    <xf numFmtId="0" fontId="0" fillId="3" borderId="11" xfId="0" applyFill="1" applyBorder="1"/>
    <xf numFmtId="0" fontId="0" fillId="2" borderId="11" xfId="0" applyFill="1" applyBorder="1"/>
    <xf numFmtId="0" fontId="0" fillId="4" borderId="11" xfId="0" applyFill="1" applyBorder="1"/>
    <xf numFmtId="9" fontId="0" fillId="2" borderId="11" xfId="0" applyNumberFormat="1" applyFill="1" applyBorder="1"/>
    <xf numFmtId="10" fontId="0" fillId="2" borderId="11" xfId="0" applyNumberFormat="1" applyFill="1" applyBorder="1"/>
    <xf numFmtId="0" fontId="0" fillId="0" borderId="0" xfId="0" applyFill="1" applyBorder="1" applyAlignment="1"/>
    <xf numFmtId="0" fontId="0" fillId="0" borderId="12" xfId="0" applyFill="1" applyBorder="1" applyAlignment="1"/>
    <xf numFmtId="0" fontId="3" fillId="0" borderId="13" xfId="0" applyFont="1" applyFill="1" applyBorder="1" applyAlignment="1">
      <alignment horizontal="center"/>
    </xf>
    <xf numFmtId="0" fontId="3" fillId="0" borderId="13" xfId="0" applyFont="1" applyFill="1" applyBorder="1" applyAlignment="1">
      <alignment horizontal="centerContinuous"/>
    </xf>
    <xf numFmtId="0" fontId="1" fillId="0" borderId="14" xfId="0" applyFont="1" applyFill="1" applyBorder="1" applyAlignment="1">
      <alignment wrapText="1"/>
    </xf>
    <xf numFmtId="9" fontId="0" fillId="0" borderId="0" xfId="1" applyFont="1"/>
    <xf numFmtId="0" fontId="0" fillId="0" borderId="0" xfId="0" applyAlignment="1">
      <alignment horizontal="center"/>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0" xfId="0" applyAlignment="1">
      <alignment horizontal="center" vertical="center"/>
    </xf>
    <xf numFmtId="0" fontId="1" fillId="0" borderId="14" xfId="0" applyFont="1" applyFill="1" applyBorder="1" applyAlignment="1">
      <alignment horizontal="center" vertical="center" wrapText="1"/>
    </xf>
    <xf numFmtId="22" fontId="0" fillId="0" borderId="0" xfId="0" applyNumberFormat="1"/>
    <xf numFmtId="0" fontId="1" fillId="0" borderId="2" xfId="0" applyFont="1" applyBorder="1" applyAlignment="1">
      <alignment wrapText="1"/>
    </xf>
    <xf numFmtId="0" fontId="0" fillId="0" borderId="6" xfId="0" applyBorder="1" applyAlignment="1">
      <alignment horizontal="right" wrapText="1"/>
    </xf>
    <xf numFmtId="0" fontId="1" fillId="0" borderId="11" xfId="0" applyFont="1" applyBorder="1" applyAlignment="1">
      <alignment horizontal="center" wrapText="1"/>
    </xf>
    <xf numFmtId="0" fontId="0" fillId="0" borderId="11" xfId="0" applyBorder="1" applyAlignment="1">
      <alignment horizontal="center" wrapText="1"/>
    </xf>
    <xf numFmtId="14" fontId="0" fillId="0" borderId="11" xfId="0" applyNumberFormat="1" applyBorder="1" applyAlignment="1">
      <alignment horizontal="center" wrapText="1"/>
    </xf>
    <xf numFmtId="0" fontId="0" fillId="0" borderId="0" xfId="0" applyAlignment="1">
      <alignment horizontal="left" indent="1"/>
    </xf>
    <xf numFmtId="0" fontId="0" fillId="0" borderId="11" xfId="0" applyBorder="1"/>
    <xf numFmtId="0" fontId="0" fillId="4" borderId="11" xfId="0" applyFill="1" applyBorder="1" applyAlignment="1">
      <alignment horizontal="center"/>
    </xf>
    <xf numFmtId="14" fontId="0" fillId="0" borderId="0" xfId="0" applyNumberFormat="1" applyAlignment="1">
      <alignment horizontal="left" indent="1"/>
    </xf>
    <xf numFmtId="14" fontId="0" fillId="0" borderId="0" xfId="0" applyNumberFormat="1"/>
    <xf numFmtId="0" fontId="0" fillId="5" borderId="0" xfId="0" applyFill="1"/>
    <xf numFmtId="0" fontId="0" fillId="5" borderId="15" xfId="0" applyFill="1" applyBorder="1" applyAlignment="1">
      <alignment horizontal="center" vertical="center"/>
    </xf>
    <xf numFmtId="0" fontId="0" fillId="5" borderId="0" xfId="0" applyFill="1" applyAlignment="1"/>
    <xf numFmtId="0" fontId="1" fillId="6" borderId="11" xfId="0" applyFont="1" applyFill="1" applyBorder="1" applyAlignment="1">
      <alignment horizontal="center" vertical="center"/>
    </xf>
    <xf numFmtId="0" fontId="1" fillId="6" borderId="11" xfId="0" applyFont="1" applyFill="1" applyBorder="1" applyAlignment="1">
      <alignment horizontal="center"/>
    </xf>
    <xf numFmtId="0" fontId="5" fillId="6" borderId="11" xfId="0" applyFont="1" applyFill="1" applyBorder="1" applyAlignment="1">
      <alignment horizontal="center" vertical="center"/>
    </xf>
    <xf numFmtId="0" fontId="4" fillId="6" borderId="11" xfId="0" applyFont="1" applyFill="1" applyBorder="1" applyAlignment="1">
      <alignment horizontal="center" vertical="center"/>
    </xf>
    <xf numFmtId="0" fontId="6" fillId="6" borderId="11" xfId="0" applyFont="1" applyFill="1" applyBorder="1" applyAlignment="1">
      <alignment horizontal="center"/>
    </xf>
  </cellXfs>
  <cellStyles count="2">
    <cellStyle name="Normal" xfId="0" builtinId="0"/>
    <cellStyle name="Percent" xfId="1" builtinId="5"/>
  </cellStyles>
  <dxfs count="32">
    <dxf>
      <numFmt numFmtId="19" formatCode="m/d/yyyy"/>
    </dxf>
    <dxf>
      <font>
        <color rgb="FF006100"/>
      </font>
      <fill>
        <patternFill>
          <bgColor rgb="FFC6EFCE"/>
        </patternFill>
      </fill>
    </dxf>
    <dxf>
      <font>
        <color rgb="FF006100"/>
      </font>
      <fill>
        <patternFill>
          <bgColor rgb="FFC6EFCE"/>
        </patternFill>
      </fill>
    </dxf>
    <dxf>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19" formatCode="m/d/yyyy"/>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left style="medium">
          <color rgb="FFCCCCCC"/>
        </left>
        <right style="medium">
          <color rgb="FFCCCCCC"/>
        </right>
      </border>
    </dxf>
    <dxf>
      <alignment horizontal="right" vertical="bottom" textRotation="0" wrapText="1" indent="0" justifyLastLine="0" shrinkToFit="0" readingOrder="0"/>
    </dxf>
    <dxf>
      <border outline="0">
        <bottom style="medium">
          <color rgb="FFCCCCCC"/>
        </bottom>
      </border>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border diagonalUp="0" diagonalDown="0" outline="0">
        <left style="medium">
          <color rgb="FFCCCCCC"/>
        </left>
        <right style="medium">
          <color rgb="FFCCCCCC"/>
        </right>
        <top/>
        <bottom/>
      </border>
    </dxf>
    <dxf>
      <numFmt numFmtId="0" formatCode="Genera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numFmt numFmtId="19" formatCode="m/d/yyyy"/>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alignment horizontal="right" vertical="bottom" textRotation="0" wrapText="1" indent="0" justifyLastLine="0" shrinkToFit="0" readingOrder="0"/>
    </dxf>
    <dxf>
      <border outline="0">
        <bottom style="medium">
          <color rgb="FFCCCCCC"/>
        </bottom>
      </border>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[Project2.xlsx]Pie Chart!PivotTable1</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Product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 Chart'!$B$3</c:f>
              <c:strCache>
                <c:ptCount val="1"/>
                <c:pt idx="0">
                  <c:v>Total</c:v>
                </c:pt>
              </c:strCache>
            </c:strRef>
          </c:tx>
          <c:dPt>
            <c:idx val="0"/>
            <c:bubble3D val="0"/>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9E87-4410-9115-6A43197272AF}"/>
              </c:ext>
            </c:extLst>
          </c:dPt>
          <c:dPt>
            <c:idx val="1"/>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9E87-4410-9115-6A43197272AF}"/>
              </c:ext>
            </c:extLst>
          </c:dPt>
          <c:dPt>
            <c:idx val="2"/>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9E87-4410-9115-6A43197272AF}"/>
              </c:ext>
            </c:extLst>
          </c:dPt>
          <c:dPt>
            <c:idx val="3"/>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9E87-4410-9115-6A43197272AF}"/>
              </c:ext>
            </c:extLst>
          </c:dPt>
          <c:dPt>
            <c:idx val="4"/>
            <c:bubble3D val="0"/>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Chart'!$A$4:$A$9</c:f>
              <c:strCache>
                <c:ptCount val="5"/>
                <c:pt idx="0">
                  <c:v>Books</c:v>
                </c:pt>
                <c:pt idx="1">
                  <c:v>Clothing</c:v>
                </c:pt>
                <c:pt idx="2">
                  <c:v>Electronics</c:v>
                </c:pt>
                <c:pt idx="3">
                  <c:v>Furniture</c:v>
                </c:pt>
                <c:pt idx="4">
                  <c:v>Office Supplies</c:v>
                </c:pt>
              </c:strCache>
            </c:strRef>
          </c:cat>
          <c:val>
            <c:numRef>
              <c:f>'Pie Chart'!$B$4:$B$9</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0-9E87-4410-9115-6A43197272AF}"/>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[Project2.xlsx]Bar Chart!PivotTable2</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Quantity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 Chart'!$B$3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Chart'!$A$4:$A$9</c:f>
              <c:strCache>
                <c:ptCount val="5"/>
                <c:pt idx="0">
                  <c:v>Central</c:v>
                </c:pt>
                <c:pt idx="1">
                  <c:v>East</c:v>
                </c:pt>
                <c:pt idx="2">
                  <c:v>North</c:v>
                </c:pt>
                <c:pt idx="3">
                  <c:v>South</c:v>
                </c:pt>
                <c:pt idx="4">
                  <c:v>West</c:v>
                </c:pt>
              </c:strCache>
            </c:strRef>
          </c:cat>
          <c:val>
            <c:numRef>
              <c:f>'Bar Chart'!$B$4:$B$9</c:f>
              <c:numCache>
                <c:formatCode>General</c:formatCode>
                <c:ptCount val="5"/>
                <c:pt idx="0">
                  <c:v>410</c:v>
                </c:pt>
                <c:pt idx="1">
                  <c:v>374</c:v>
                </c:pt>
                <c:pt idx="2">
                  <c:v>383</c:v>
                </c:pt>
                <c:pt idx="3">
                  <c:v>374</c:v>
                </c:pt>
                <c:pt idx="4">
                  <c:v>458</c:v>
                </c:pt>
              </c:numCache>
            </c:numRef>
          </c:val>
          <c:extLst>
            <c:ext xmlns:c16="http://schemas.microsoft.com/office/drawing/2014/chart" uri="{C3380CC4-5D6E-409C-BE32-E72D297353CC}">
              <c16:uniqueId val="{00000002-ADA0-4A79-A9E5-824790476E2C}"/>
            </c:ext>
          </c:extLst>
        </c:ser>
        <c:dLbls>
          <c:dLblPos val="outEnd"/>
          <c:showLegendKey val="0"/>
          <c:showVal val="1"/>
          <c:showCatName val="0"/>
          <c:showSerName val="0"/>
          <c:showPercent val="0"/>
          <c:showBubbleSize val="0"/>
        </c:dLbls>
        <c:gapWidth val="100"/>
        <c:overlap val="-24"/>
        <c:axId val="358495408"/>
        <c:axId val="358496240"/>
      </c:barChart>
      <c:catAx>
        <c:axId val="3584954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58496240"/>
        <c:crosses val="autoZero"/>
        <c:auto val="1"/>
        <c:lblAlgn val="ctr"/>
        <c:lblOffset val="100"/>
        <c:noMultiLvlLbl val="0"/>
      </c:catAx>
      <c:valAx>
        <c:axId val="35849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58495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[Project2.xlsx]Donut Chart!PivotTable4</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of Customers</a:t>
            </a:r>
            <a:r>
              <a:rPr lang="en-US" b="1" baseline="0"/>
              <a:t>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hade val="53000"/>
            </a:schemeClr>
          </a:solidFill>
          <a:ln w="19050">
            <a:solidFill>
              <a:schemeClr val="lt1"/>
            </a:solidFill>
          </a:ln>
          <a:effectLst/>
        </c:spPr>
        <c:dLbl>
          <c:idx val="0"/>
          <c:layout>
            <c:manualLayout>
              <c:x val="0.11111111111111101"/>
              <c:y val="-6.48148148148148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hade val="76000"/>
            </a:schemeClr>
          </a:solidFill>
          <a:ln w="19050">
            <a:solidFill>
              <a:schemeClr val="lt1"/>
            </a:solidFill>
          </a:ln>
          <a:effectLst/>
        </c:spPr>
        <c:dLbl>
          <c:idx val="0"/>
          <c:layout>
            <c:manualLayout>
              <c:x val="0.11944444444444434"/>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7499999999999999"/>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tint val="77000"/>
            </a:schemeClr>
          </a:solidFill>
          <a:ln w="19050">
            <a:solidFill>
              <a:schemeClr val="lt1"/>
            </a:solidFill>
          </a:ln>
          <a:effectLst/>
        </c:spPr>
        <c:dLbl>
          <c:idx val="0"/>
          <c:layout>
            <c:manualLayout>
              <c:x val="-0.11388888888888889"/>
              <c:y val="5.55555555555553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tint val="54000"/>
            </a:schemeClr>
          </a:solidFill>
          <a:ln w="19050">
            <a:solidFill>
              <a:schemeClr val="lt1"/>
            </a:solidFill>
          </a:ln>
          <a:effectLst/>
        </c:spPr>
        <c:dLbl>
          <c:idx val="0"/>
          <c:layout>
            <c:manualLayout>
              <c:x val="-7.2222222222222215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'Donut Chart'!$B$3</c:f>
              <c:strCache>
                <c:ptCount val="1"/>
                <c:pt idx="0">
                  <c:v>Total</c:v>
                </c:pt>
              </c:strCache>
            </c:strRef>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2-2B03-4AAF-B1FB-252AB313E832}"/>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2B03-4AAF-B1FB-252AB313E832}"/>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4-2B03-4AAF-B1FB-252AB313E832}"/>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5-2B03-4AAF-B1FB-252AB313E832}"/>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6-2B03-4AAF-B1FB-252AB313E832}"/>
              </c:ext>
            </c:extLst>
          </c:dPt>
          <c:dLbls>
            <c:dLbl>
              <c:idx val="0"/>
              <c:layout>
                <c:manualLayout>
                  <c:x val="0.11111111111111101"/>
                  <c:y val="-6.481481481481483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B03-4AAF-B1FB-252AB313E832}"/>
                </c:ext>
              </c:extLst>
            </c:dLbl>
            <c:dLbl>
              <c:idx val="1"/>
              <c:layout>
                <c:manualLayout>
                  <c:x val="0.11944444444444434"/>
                  <c:y val="9.2592592592591737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B03-4AAF-B1FB-252AB313E832}"/>
                </c:ext>
              </c:extLst>
            </c:dLbl>
            <c:dLbl>
              <c:idx val="2"/>
              <c:layout>
                <c:manualLayout>
                  <c:x val="0.17499999999999999"/>
                  <c:y val="6.944444444444444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2B03-4AAF-B1FB-252AB313E832}"/>
                </c:ext>
              </c:extLst>
            </c:dLbl>
            <c:dLbl>
              <c:idx val="3"/>
              <c:layout>
                <c:manualLayout>
                  <c:x val="-0.11388888888888889"/>
                  <c:y val="5.555555555555538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B03-4AAF-B1FB-252AB313E832}"/>
                </c:ext>
              </c:extLst>
            </c:dLbl>
            <c:dLbl>
              <c:idx val="4"/>
              <c:layout>
                <c:manualLayout>
                  <c:x val="-7.2222222222222215E-2"/>
                  <c:y val="-0.1157407407407407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2B03-4AAF-B1FB-252AB313E83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'Donut Chart'!$A$4:$A$9</c:f>
              <c:strCache>
                <c:ptCount val="5"/>
                <c:pt idx="0">
                  <c:v>David Brown</c:v>
                </c:pt>
                <c:pt idx="1">
                  <c:v>Emma Davis</c:v>
                </c:pt>
                <c:pt idx="2">
                  <c:v>James Wilson</c:v>
                </c:pt>
                <c:pt idx="3">
                  <c:v>Linda Wilson</c:v>
                </c:pt>
                <c:pt idx="4">
                  <c:v>Mary Davis</c:v>
                </c:pt>
              </c:strCache>
            </c:strRef>
          </c:cat>
          <c:val>
            <c:numRef>
              <c:f>'Donut Chart'!$B$4:$B$9</c:f>
              <c:numCache>
                <c:formatCode>General</c:formatCode>
                <c:ptCount val="5"/>
                <c:pt idx="0">
                  <c:v>11915.829999999998</c:v>
                </c:pt>
                <c:pt idx="1">
                  <c:v>11398.32</c:v>
                </c:pt>
                <c:pt idx="2">
                  <c:v>20774.739999999998</c:v>
                </c:pt>
                <c:pt idx="3">
                  <c:v>9970.1999999999989</c:v>
                </c:pt>
                <c:pt idx="4">
                  <c:v>17143.289999999997</c:v>
                </c:pt>
              </c:numCache>
            </c:numRef>
          </c:val>
          <c:extLst>
            <c:ext xmlns:c16="http://schemas.microsoft.com/office/drawing/2014/chart" uri="{C3380CC4-5D6E-409C-BE32-E72D297353CC}">
              <c16:uniqueId val="{00000000-2B03-4AAF-B1FB-252AB313E832}"/>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[Project2.xlsx]Line Chart!PivotTable3</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'Line Chart'!$A$4:$A$19</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'Line Chart'!$B$4:$B$19</c:f>
              <c:numCache>
                <c:formatCode>General</c:formatCode>
                <c:ptCount val="13"/>
                <c:pt idx="0">
                  <c:v>6244.01</c:v>
                </c:pt>
                <c:pt idx="1">
                  <c:v>6121.3499999999995</c:v>
                </c:pt>
                <c:pt idx="2">
                  <c:v>6918</c:v>
                </c:pt>
                <c:pt idx="3">
                  <c:v>3743.85</c:v>
                </c:pt>
                <c:pt idx="4">
                  <c:v>3302.84</c:v>
                </c:pt>
                <c:pt idx="5">
                  <c:v>7457.5199999999995</c:v>
                </c:pt>
                <c:pt idx="6">
                  <c:v>4861.7</c:v>
                </c:pt>
                <c:pt idx="7">
                  <c:v>6814.8799999999992</c:v>
                </c:pt>
                <c:pt idx="8">
                  <c:v>3549.99</c:v>
                </c:pt>
                <c:pt idx="9">
                  <c:v>5763.4</c:v>
                </c:pt>
                <c:pt idx="10">
                  <c:v>5039.2299999999996</c:v>
                </c:pt>
                <c:pt idx="11">
                  <c:v>7071.39</c:v>
                </c:pt>
                <c:pt idx="12">
                  <c:v>1398.85</c:v>
                </c:pt>
              </c:numCache>
            </c:numRef>
          </c:val>
          <c:smooth val="0"/>
          <c:extLst>
            <c:ext xmlns:c16="http://schemas.microsoft.com/office/drawing/2014/chart" uri="{C3380CC4-5D6E-409C-BE32-E72D297353CC}">
              <c16:uniqueId val="{00000002-6B02-4249-94EA-89A25CC7F6D0}"/>
            </c:ext>
          </c:extLst>
        </c:ser>
        <c:dLbls>
          <c:dLblPos val="t"/>
          <c:showLegendKey val="0"/>
          <c:showVal val="0"/>
          <c:showCatName val="0"/>
          <c:showSerName val="0"/>
          <c:showPercent val="0"/>
          <c:showBubbleSize val="0"/>
        </c:dLbls>
        <c:marker val="1"/>
        <c:smooth val="0"/>
        <c:axId val="358488336"/>
        <c:axId val="358495824"/>
      </c:lineChart>
      <c:catAx>
        <c:axId val="3584883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58495824"/>
        <c:crosses val="autoZero"/>
        <c:auto val="1"/>
        <c:lblAlgn val="ctr"/>
        <c:lblOffset val="100"/>
        <c:noMultiLvlLbl val="0"/>
      </c:catAx>
      <c:valAx>
        <c:axId val="358495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58488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[Project2.xlsx]Line Chart!PivotTable3</c:name>
    <c:fmtId val="8"/>
  </c:pivotSource>
  <c:chart>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a:t>Monthly Sales Trend</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'Line Chart'!$A$4:$A$19</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'Line Chart'!$B$4:$B$19</c:f>
              <c:numCache>
                <c:formatCode>General</c:formatCode>
                <c:ptCount val="13"/>
                <c:pt idx="0">
                  <c:v>6244.01</c:v>
                </c:pt>
                <c:pt idx="1">
                  <c:v>6121.3499999999995</c:v>
                </c:pt>
                <c:pt idx="2">
                  <c:v>6918</c:v>
                </c:pt>
                <c:pt idx="3">
                  <c:v>3743.85</c:v>
                </c:pt>
                <c:pt idx="4">
                  <c:v>3302.84</c:v>
                </c:pt>
                <c:pt idx="5">
                  <c:v>7457.5199999999995</c:v>
                </c:pt>
                <c:pt idx="6">
                  <c:v>4861.7</c:v>
                </c:pt>
                <c:pt idx="7">
                  <c:v>6814.8799999999992</c:v>
                </c:pt>
                <c:pt idx="8">
                  <c:v>3549.99</c:v>
                </c:pt>
                <c:pt idx="9">
                  <c:v>5763.4</c:v>
                </c:pt>
                <c:pt idx="10">
                  <c:v>5039.2299999999996</c:v>
                </c:pt>
                <c:pt idx="11">
                  <c:v>7071.39</c:v>
                </c:pt>
                <c:pt idx="12">
                  <c:v>1398.85</c:v>
                </c:pt>
              </c:numCache>
            </c:numRef>
          </c:val>
          <c:smooth val="0"/>
          <c:extLst>
            <c:ext xmlns:c16="http://schemas.microsoft.com/office/drawing/2014/chart" uri="{C3380CC4-5D6E-409C-BE32-E72D297353CC}">
              <c16:uniqueId val="{00000000-95AA-450F-A8C2-72CF1F674B8B}"/>
            </c:ext>
          </c:extLst>
        </c:ser>
        <c:dLbls>
          <c:showLegendKey val="0"/>
          <c:showVal val="0"/>
          <c:showCatName val="0"/>
          <c:showSerName val="0"/>
          <c:showPercent val="0"/>
          <c:showBubbleSize val="0"/>
        </c:dLbls>
        <c:marker val="1"/>
        <c:smooth val="0"/>
        <c:axId val="358488336"/>
        <c:axId val="358495824"/>
      </c:lineChart>
      <c:catAx>
        <c:axId val="3584883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58495824"/>
        <c:crosses val="autoZero"/>
        <c:auto val="1"/>
        <c:lblAlgn val="ctr"/>
        <c:lblOffset val="100"/>
        <c:noMultiLvlLbl val="0"/>
      </c:catAx>
      <c:valAx>
        <c:axId val="358495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58488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[Project2.xlsx]Donut Chart!PivotTable4</c:name>
    <c:fmtId val="6"/>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Sales of Customers</a:t>
            </a:r>
            <a:r>
              <a:rPr lang="en-US" sz="1100" b="1" baseline="0"/>
              <a:t> </a:t>
            </a:r>
            <a:endParaRPr lang="en-US" sz="1100" b="1"/>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hade val="53000"/>
            </a:schemeClr>
          </a:solidFill>
          <a:ln w="19050">
            <a:solidFill>
              <a:schemeClr val="lt1"/>
            </a:solidFill>
          </a:ln>
          <a:effectLst/>
        </c:spPr>
        <c:dLbl>
          <c:idx val="0"/>
          <c:layout>
            <c:manualLayout>
              <c:x val="0.11111111111111101"/>
              <c:y val="-6.48148148148148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hade val="76000"/>
            </a:schemeClr>
          </a:solidFill>
          <a:ln w="19050">
            <a:solidFill>
              <a:schemeClr val="lt1"/>
            </a:solidFill>
          </a:ln>
          <a:effectLst/>
        </c:spPr>
        <c:dLbl>
          <c:idx val="0"/>
          <c:layout>
            <c:manualLayout>
              <c:x val="0.11944444444444434"/>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7499999999999999"/>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tint val="77000"/>
            </a:schemeClr>
          </a:solidFill>
          <a:ln w="19050">
            <a:solidFill>
              <a:schemeClr val="lt1"/>
            </a:solidFill>
          </a:ln>
          <a:effectLst/>
        </c:spPr>
        <c:dLbl>
          <c:idx val="0"/>
          <c:layout>
            <c:manualLayout>
              <c:x val="-0.11388888888888889"/>
              <c:y val="5.55555555555553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tint val="54000"/>
            </a:schemeClr>
          </a:solidFill>
          <a:ln w="19050">
            <a:solidFill>
              <a:schemeClr val="lt1"/>
            </a:solidFill>
          </a:ln>
          <a:effectLst/>
        </c:spPr>
        <c:dLbl>
          <c:idx val="0"/>
          <c:layout>
            <c:manualLayout>
              <c:x val="-7.2222222222222215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hade val="53000"/>
            </a:schemeClr>
          </a:solidFill>
          <a:ln w="19050">
            <a:solidFill>
              <a:schemeClr val="lt1"/>
            </a:solidFill>
          </a:ln>
          <a:effectLst/>
        </c:spPr>
        <c:dLbl>
          <c:idx val="0"/>
          <c:layout>
            <c:manualLayout>
              <c:x val="0.11111111111111101"/>
              <c:y val="-6.48148148148148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hade val="76000"/>
            </a:schemeClr>
          </a:solidFill>
          <a:ln w="19050">
            <a:solidFill>
              <a:schemeClr val="lt1"/>
            </a:solidFill>
          </a:ln>
          <a:effectLst/>
        </c:spPr>
        <c:dLbl>
          <c:idx val="0"/>
          <c:layout>
            <c:manualLayout>
              <c:x val="0.11944444444444434"/>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7499999999999999"/>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tint val="77000"/>
            </a:schemeClr>
          </a:solidFill>
          <a:ln w="19050">
            <a:solidFill>
              <a:schemeClr val="lt1"/>
            </a:solidFill>
          </a:ln>
          <a:effectLst/>
        </c:spPr>
        <c:dLbl>
          <c:idx val="0"/>
          <c:layout>
            <c:manualLayout>
              <c:x val="-0.11388888888888889"/>
              <c:y val="5.55555555555553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tint val="54000"/>
            </a:schemeClr>
          </a:solidFill>
          <a:ln w="19050">
            <a:solidFill>
              <a:schemeClr val="lt1"/>
            </a:solidFill>
          </a:ln>
          <a:effectLst/>
        </c:spPr>
        <c:dLbl>
          <c:idx val="0"/>
          <c:layout>
            <c:manualLayout>
              <c:x val="-7.2222222222222215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hade val="53000"/>
            </a:schemeClr>
          </a:solidFill>
          <a:ln w="19050">
            <a:solidFill>
              <a:schemeClr val="lt1"/>
            </a:solidFill>
          </a:ln>
          <a:effectLst/>
        </c:spPr>
        <c:dLbl>
          <c:idx val="0"/>
          <c:layout>
            <c:manualLayout>
              <c:x val="0.11111111111111101"/>
              <c:y val="-6.48148148148148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hade val="76000"/>
            </a:schemeClr>
          </a:solidFill>
          <a:ln w="19050">
            <a:solidFill>
              <a:schemeClr val="lt1"/>
            </a:solidFill>
          </a:ln>
          <a:effectLst/>
        </c:spPr>
        <c:dLbl>
          <c:idx val="0"/>
          <c:layout>
            <c:manualLayout>
              <c:x val="0.11944444444444434"/>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7499999999999999"/>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tint val="77000"/>
            </a:schemeClr>
          </a:solidFill>
          <a:ln w="19050">
            <a:solidFill>
              <a:schemeClr val="lt1"/>
            </a:solidFill>
          </a:ln>
          <a:effectLst/>
        </c:spPr>
        <c:dLbl>
          <c:idx val="0"/>
          <c:layout>
            <c:manualLayout>
              <c:x val="-0.11388888888888889"/>
              <c:y val="5.55555555555553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tint val="54000"/>
            </a:schemeClr>
          </a:solidFill>
          <a:ln w="19050">
            <a:solidFill>
              <a:schemeClr val="lt1"/>
            </a:solidFill>
          </a:ln>
          <a:effectLst/>
        </c:spPr>
        <c:dLbl>
          <c:idx val="0"/>
          <c:layout>
            <c:manualLayout>
              <c:x val="-7.2222222222222215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'Donut Chart'!$B$3</c:f>
              <c:strCache>
                <c:ptCount val="1"/>
                <c:pt idx="0">
                  <c:v>Total</c:v>
                </c:pt>
              </c:strCache>
            </c:strRef>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17AC-4AAE-BD32-317E6D7968AB}"/>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17AC-4AAE-BD32-317E6D7968AB}"/>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17AC-4AAE-BD32-317E6D7968AB}"/>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7-17AC-4AAE-BD32-317E6D7968AB}"/>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9-17AC-4AAE-BD32-317E6D7968AB}"/>
              </c:ext>
            </c:extLst>
          </c:dPt>
          <c:dLbls>
            <c:dLbl>
              <c:idx val="0"/>
              <c:layout>
                <c:manualLayout>
                  <c:x val="0.11111111111111101"/>
                  <c:y val="-6.481481481481483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7AC-4AAE-BD32-317E6D7968AB}"/>
                </c:ext>
              </c:extLst>
            </c:dLbl>
            <c:dLbl>
              <c:idx val="1"/>
              <c:layout>
                <c:manualLayout>
                  <c:x val="0.11944444444444434"/>
                  <c:y val="9.2592592592591737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7AC-4AAE-BD32-317E6D7968AB}"/>
                </c:ext>
              </c:extLst>
            </c:dLbl>
            <c:dLbl>
              <c:idx val="2"/>
              <c:layout>
                <c:manualLayout>
                  <c:x val="0.17499999999999999"/>
                  <c:y val="6.944444444444444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7AC-4AAE-BD32-317E6D7968AB}"/>
                </c:ext>
              </c:extLst>
            </c:dLbl>
            <c:dLbl>
              <c:idx val="3"/>
              <c:layout>
                <c:manualLayout>
                  <c:x val="-0.11388888888888889"/>
                  <c:y val="5.555555555555538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7AC-4AAE-BD32-317E6D7968AB}"/>
                </c:ext>
              </c:extLst>
            </c:dLbl>
            <c:dLbl>
              <c:idx val="4"/>
              <c:layout>
                <c:manualLayout>
                  <c:x val="-7.2222222222222215E-2"/>
                  <c:y val="-0.1157407407407407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17AC-4AAE-BD32-317E6D7968A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'Donut Chart'!$A$4:$A$9</c:f>
              <c:strCache>
                <c:ptCount val="5"/>
                <c:pt idx="0">
                  <c:v>David Brown</c:v>
                </c:pt>
                <c:pt idx="1">
                  <c:v>Emma Davis</c:v>
                </c:pt>
                <c:pt idx="2">
                  <c:v>James Wilson</c:v>
                </c:pt>
                <c:pt idx="3">
                  <c:v>Linda Wilson</c:v>
                </c:pt>
                <c:pt idx="4">
                  <c:v>Mary Davis</c:v>
                </c:pt>
              </c:strCache>
            </c:strRef>
          </c:cat>
          <c:val>
            <c:numRef>
              <c:f>'Donut Chart'!$B$4:$B$9</c:f>
              <c:numCache>
                <c:formatCode>General</c:formatCode>
                <c:ptCount val="5"/>
                <c:pt idx="0">
                  <c:v>11915.829999999998</c:v>
                </c:pt>
                <c:pt idx="1">
                  <c:v>11398.32</c:v>
                </c:pt>
                <c:pt idx="2">
                  <c:v>20774.739999999998</c:v>
                </c:pt>
                <c:pt idx="3">
                  <c:v>9970.1999999999989</c:v>
                </c:pt>
                <c:pt idx="4">
                  <c:v>17143.289999999997</c:v>
                </c:pt>
              </c:numCache>
            </c:numRef>
          </c:val>
          <c:extLst>
            <c:ext xmlns:c16="http://schemas.microsoft.com/office/drawing/2014/chart" uri="{C3380CC4-5D6E-409C-BE32-E72D297353CC}">
              <c16:uniqueId val="{0000000A-17AC-4AAE-BD32-317E6D7968AB}"/>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[Project2.xlsx]Bar Chart!PivotTable2</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Quantity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 Chart'!$B$3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Chart'!$A$4:$A$9</c:f>
              <c:strCache>
                <c:ptCount val="5"/>
                <c:pt idx="0">
                  <c:v>Central</c:v>
                </c:pt>
                <c:pt idx="1">
                  <c:v>East</c:v>
                </c:pt>
                <c:pt idx="2">
                  <c:v>North</c:v>
                </c:pt>
                <c:pt idx="3">
                  <c:v>South</c:v>
                </c:pt>
                <c:pt idx="4">
                  <c:v>West</c:v>
                </c:pt>
              </c:strCache>
            </c:strRef>
          </c:cat>
          <c:val>
            <c:numRef>
              <c:f>'Bar Chart'!$B$4:$B$9</c:f>
              <c:numCache>
                <c:formatCode>General</c:formatCode>
                <c:ptCount val="5"/>
                <c:pt idx="0">
                  <c:v>410</c:v>
                </c:pt>
                <c:pt idx="1">
                  <c:v>374</c:v>
                </c:pt>
                <c:pt idx="2">
                  <c:v>383</c:v>
                </c:pt>
                <c:pt idx="3">
                  <c:v>374</c:v>
                </c:pt>
                <c:pt idx="4">
                  <c:v>458</c:v>
                </c:pt>
              </c:numCache>
            </c:numRef>
          </c:val>
          <c:extLst>
            <c:ext xmlns:c16="http://schemas.microsoft.com/office/drawing/2014/chart" uri="{C3380CC4-5D6E-409C-BE32-E72D297353CC}">
              <c16:uniqueId val="{00000000-D2B0-4114-A0CC-A82D5E16288C}"/>
            </c:ext>
          </c:extLst>
        </c:ser>
        <c:dLbls>
          <c:dLblPos val="outEnd"/>
          <c:showLegendKey val="0"/>
          <c:showVal val="1"/>
          <c:showCatName val="0"/>
          <c:showSerName val="0"/>
          <c:showPercent val="0"/>
          <c:showBubbleSize val="0"/>
        </c:dLbls>
        <c:gapWidth val="100"/>
        <c:overlap val="-24"/>
        <c:axId val="358495408"/>
        <c:axId val="358496240"/>
      </c:barChart>
      <c:catAx>
        <c:axId val="3584954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58496240"/>
        <c:crosses val="autoZero"/>
        <c:auto val="1"/>
        <c:lblAlgn val="ctr"/>
        <c:lblOffset val="100"/>
        <c:noMultiLvlLbl val="0"/>
      </c:catAx>
      <c:valAx>
        <c:axId val="35849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58495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[Project2.xlsx]Pie Chart!PivotTable1</c:name>
    <c:fmtId val="7"/>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a:t>Sales By Product Category</a:t>
            </a:r>
          </a:p>
        </c:rich>
      </c:tx>
      <c:layout>
        <c:manualLayout>
          <c:xMode val="edge"/>
          <c:yMode val="edge"/>
          <c:x val="0.25654761904761902"/>
          <c:y val="4.5977011494252873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 Chart'!$B$3</c:f>
              <c:strCache>
                <c:ptCount val="1"/>
                <c:pt idx="0">
                  <c:v>Total</c:v>
                </c:pt>
              </c:strCache>
            </c:strRef>
          </c:tx>
          <c:dPt>
            <c:idx val="0"/>
            <c:bubble3D val="0"/>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EAD8-4003-A1B7-B23D3AF0B658}"/>
              </c:ext>
            </c:extLst>
          </c:dPt>
          <c:dPt>
            <c:idx val="1"/>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EAD8-4003-A1B7-B23D3AF0B658}"/>
              </c:ext>
            </c:extLst>
          </c:dPt>
          <c:dPt>
            <c:idx val="2"/>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EAD8-4003-A1B7-B23D3AF0B658}"/>
              </c:ext>
            </c:extLst>
          </c:dPt>
          <c:dPt>
            <c:idx val="3"/>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EAD8-4003-A1B7-B23D3AF0B658}"/>
              </c:ext>
            </c:extLst>
          </c:dPt>
          <c:dPt>
            <c:idx val="4"/>
            <c:bubble3D val="0"/>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EAD8-4003-A1B7-B23D3AF0B658}"/>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1"/>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Chart'!$A$4:$A$9</c:f>
              <c:strCache>
                <c:ptCount val="5"/>
                <c:pt idx="0">
                  <c:v>Books</c:v>
                </c:pt>
                <c:pt idx="1">
                  <c:v>Clothing</c:v>
                </c:pt>
                <c:pt idx="2">
                  <c:v>Electronics</c:v>
                </c:pt>
                <c:pt idx="3">
                  <c:v>Furniture</c:v>
                </c:pt>
                <c:pt idx="4">
                  <c:v>Office Supplies</c:v>
                </c:pt>
              </c:strCache>
            </c:strRef>
          </c:cat>
          <c:val>
            <c:numRef>
              <c:f>'Pie Chart'!$B$4:$B$9</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A-EAD8-4003-A1B7-B23D3AF0B658}"/>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400050</xdr:colOff>
      <xdr:row>0</xdr:row>
      <xdr:rowOff>142875</xdr:rowOff>
    </xdr:from>
    <xdr:to>
      <xdr:col>11</xdr:col>
      <xdr:colOff>95250</xdr:colOff>
      <xdr:row>15</xdr:row>
      <xdr:rowOff>123825</xdr:rowOff>
    </xdr:to>
    <xdr:graphicFrame macro="">
      <xdr:nvGraphicFramePr>
        <xdr:cNvPr id="2" name="Chart 1">
          <a:extLst>
            <a:ext uri="{FF2B5EF4-FFF2-40B4-BE49-F238E27FC236}">
              <a16:creationId xmlns:a16="http://schemas.microsoft.com/office/drawing/2014/main" id="{C549F59F-9FDA-452D-A354-BDFAA44B32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260350</xdr:colOff>
      <xdr:row>1</xdr:row>
      <xdr:rowOff>152400</xdr:rowOff>
    </xdr:from>
    <xdr:to>
      <xdr:col>14</xdr:col>
      <xdr:colOff>260350</xdr:colOff>
      <xdr:row>15</xdr:row>
      <xdr:rowOff>98425</xdr:rowOff>
    </xdr:to>
    <mc:AlternateContent xmlns:mc="http://schemas.openxmlformats.org/markup-compatibility/2006">
      <mc:Choice xmlns:a14="http://schemas.microsoft.com/office/drawing/2010/main" Requires="a14">
        <xdr:graphicFrame macro="">
          <xdr:nvGraphicFramePr>
            <xdr:cNvPr id="3" name="Product_Category">
              <a:extLst>
                <a:ext uri="{FF2B5EF4-FFF2-40B4-BE49-F238E27FC236}">
                  <a16:creationId xmlns:a16="http://schemas.microsoft.com/office/drawing/2014/main" id="{969B49ED-02B8-49C3-8528-CF6EAFD1FD9C}"/>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7454900" y="336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266700</xdr:colOff>
      <xdr:row>3</xdr:row>
      <xdr:rowOff>41275</xdr:rowOff>
    </xdr:from>
    <xdr:to>
      <xdr:col>9</xdr:col>
      <xdr:colOff>571500</xdr:colOff>
      <xdr:row>18</xdr:row>
      <xdr:rowOff>22225</xdr:rowOff>
    </xdr:to>
    <xdr:graphicFrame macro="">
      <xdr:nvGraphicFramePr>
        <xdr:cNvPr id="2" name="Chart 1">
          <a:extLst>
            <a:ext uri="{FF2B5EF4-FFF2-40B4-BE49-F238E27FC236}">
              <a16:creationId xmlns:a16="http://schemas.microsoft.com/office/drawing/2014/main" id="{D740156B-0730-429D-BF4F-348C154391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6350</xdr:colOff>
      <xdr:row>3</xdr:row>
      <xdr:rowOff>95250</xdr:rowOff>
    </xdr:from>
    <xdr:to>
      <xdr:col>13</xdr:col>
      <xdr:colOff>6350</xdr:colOff>
      <xdr:row>17</xdr:row>
      <xdr:rowOff>41275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87CAF53F-A0CE-4C9F-8DF3-20ED3213169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762750" y="647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495300</xdr:colOff>
      <xdr:row>1</xdr:row>
      <xdr:rowOff>111125</xdr:rowOff>
    </xdr:from>
    <xdr:to>
      <xdr:col>10</xdr:col>
      <xdr:colOff>190500</xdr:colOff>
      <xdr:row>16</xdr:row>
      <xdr:rowOff>92075</xdr:rowOff>
    </xdr:to>
    <xdr:graphicFrame macro="">
      <xdr:nvGraphicFramePr>
        <xdr:cNvPr id="2" name="Chart 1">
          <a:extLst>
            <a:ext uri="{FF2B5EF4-FFF2-40B4-BE49-F238E27FC236}">
              <a16:creationId xmlns:a16="http://schemas.microsoft.com/office/drawing/2014/main" id="{C0CEFC16-4D14-4EB9-BD91-146E1F2B32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266700</xdr:colOff>
      <xdr:row>3</xdr:row>
      <xdr:rowOff>41275</xdr:rowOff>
    </xdr:from>
    <xdr:to>
      <xdr:col>9</xdr:col>
      <xdr:colOff>571500</xdr:colOff>
      <xdr:row>18</xdr:row>
      <xdr:rowOff>22225</xdr:rowOff>
    </xdr:to>
    <xdr:graphicFrame macro="">
      <xdr:nvGraphicFramePr>
        <xdr:cNvPr id="2" name="Chart 1">
          <a:extLst>
            <a:ext uri="{FF2B5EF4-FFF2-40B4-BE49-F238E27FC236}">
              <a16:creationId xmlns:a16="http://schemas.microsoft.com/office/drawing/2014/main" id="{6466AF5A-606D-4ABE-845F-B2456C9C15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6350</xdr:colOff>
      <xdr:row>2</xdr:row>
      <xdr:rowOff>95250</xdr:rowOff>
    </xdr:from>
    <xdr:to>
      <xdr:col>13</xdr:col>
      <xdr:colOff>6350</xdr:colOff>
      <xdr:row>16</xdr:row>
      <xdr:rowOff>41275</xdr:rowOff>
    </xdr:to>
    <mc:AlternateContent xmlns:mc="http://schemas.openxmlformats.org/markup-compatibility/2006">
      <mc:Choice xmlns:a14="http://schemas.microsoft.com/office/drawing/2010/main" Requires="a14">
        <xdr:graphicFrame macro="">
          <xdr:nvGraphicFramePr>
            <xdr:cNvPr id="3" name="Quarters">
              <a:extLst>
                <a:ext uri="{FF2B5EF4-FFF2-40B4-BE49-F238E27FC236}">
                  <a16:creationId xmlns:a16="http://schemas.microsoft.com/office/drawing/2014/main" id="{B64BA7F2-8193-42D1-8D7F-88983C0FC14D}"/>
                </a:ext>
              </a:extLst>
            </xdr:cNvPr>
            <xdr:cNvGraphicFramePr/>
          </xdr:nvGraphicFramePr>
          <xdr:xfrm>
            <a:off x="0" y="0"/>
            <a:ext cx="0" cy="0"/>
          </xdr:xfrm>
          <a:graphic>
            <a:graphicData uri="http://schemas.microsoft.com/office/drawing/2010/slicer">
              <sle:slicer xmlns:sle="http://schemas.microsoft.com/office/drawing/2010/slicer" name="Quarters"/>
            </a:graphicData>
          </a:graphic>
        </xdr:graphicFrame>
      </mc:Choice>
      <mc:Fallback>
        <xdr:sp macro="" textlink="">
          <xdr:nvSpPr>
            <xdr:cNvPr id="0" name=""/>
            <xdr:cNvSpPr>
              <a:spLocks noTextEdit="1"/>
            </xdr:cNvSpPr>
          </xdr:nvSpPr>
          <xdr:spPr>
            <a:xfrm>
              <a:off x="6572250" y="463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571500</xdr:colOff>
      <xdr:row>2</xdr:row>
      <xdr:rowOff>101600</xdr:rowOff>
    </xdr:from>
    <xdr:to>
      <xdr:col>12</xdr:col>
      <xdr:colOff>571500</xdr:colOff>
      <xdr:row>16</xdr:row>
      <xdr:rowOff>47625</xdr:rowOff>
    </xdr:to>
    <mc:AlternateContent xmlns:mc="http://schemas.openxmlformats.org/markup-compatibility/2006">
      <mc:Choice xmlns:a14="http://schemas.microsoft.com/office/drawing/2010/main" Requires="a14">
        <xdr:graphicFrame macro="">
          <xdr:nvGraphicFramePr>
            <xdr:cNvPr id="4" name="Quarters 3">
              <a:extLst>
                <a:ext uri="{FF2B5EF4-FFF2-40B4-BE49-F238E27FC236}">
                  <a16:creationId xmlns:a16="http://schemas.microsoft.com/office/drawing/2014/main" id="{DFB598AC-7D95-4CCF-A84C-CEF2F6FC37EE}"/>
                </a:ext>
              </a:extLst>
            </xdr:cNvPr>
            <xdr:cNvGraphicFramePr/>
          </xdr:nvGraphicFramePr>
          <xdr:xfrm>
            <a:off x="0" y="0"/>
            <a:ext cx="0" cy="0"/>
          </xdr:xfrm>
          <a:graphic>
            <a:graphicData uri="http://schemas.microsoft.com/office/drawing/2010/slicer">
              <sle:slicer xmlns:sle="http://schemas.microsoft.com/office/drawing/2010/slicer" name="Quarters 3"/>
            </a:graphicData>
          </a:graphic>
        </xdr:graphicFrame>
      </mc:Choice>
      <mc:Fallback>
        <xdr:sp macro="" textlink="">
          <xdr:nvSpPr>
            <xdr:cNvPr id="0" name=""/>
            <xdr:cNvSpPr>
              <a:spLocks noTextEdit="1"/>
            </xdr:cNvSpPr>
          </xdr:nvSpPr>
          <xdr:spPr>
            <a:xfrm>
              <a:off x="6527800" y="4699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3</xdr:row>
      <xdr:rowOff>19051</xdr:rowOff>
    </xdr:from>
    <xdr:to>
      <xdr:col>2</xdr:col>
      <xdr:colOff>584200</xdr:colOff>
      <xdr:row>11</xdr:row>
      <xdr:rowOff>95250</xdr:rowOff>
    </xdr:to>
    <mc:AlternateContent xmlns:mc="http://schemas.openxmlformats.org/markup-compatibility/2006">
      <mc:Choice xmlns:a14="http://schemas.microsoft.com/office/drawing/2010/main" Requires="a14">
        <xdr:graphicFrame macro="">
          <xdr:nvGraphicFramePr>
            <xdr:cNvPr id="2" name="Quarters 2">
              <a:extLst>
                <a:ext uri="{FF2B5EF4-FFF2-40B4-BE49-F238E27FC236}">
                  <a16:creationId xmlns:a16="http://schemas.microsoft.com/office/drawing/2014/main" id="{24EBCB0D-706F-466E-B170-7E47864F2373}"/>
                </a:ext>
              </a:extLst>
            </xdr:cNvPr>
            <xdr:cNvGraphicFramePr/>
          </xdr:nvGraphicFramePr>
          <xdr:xfrm>
            <a:off x="0" y="0"/>
            <a:ext cx="0" cy="0"/>
          </xdr:xfrm>
          <a:graphic>
            <a:graphicData uri="http://schemas.microsoft.com/office/drawing/2010/slicer">
              <sle:slicer xmlns:sle="http://schemas.microsoft.com/office/drawing/2010/slicer" name="Quarters 2"/>
            </a:graphicData>
          </a:graphic>
        </xdr:graphicFrame>
      </mc:Choice>
      <mc:Fallback>
        <xdr:sp macro="" textlink="">
          <xdr:nvSpPr>
            <xdr:cNvPr id="0" name=""/>
            <xdr:cNvSpPr>
              <a:spLocks noTextEdit="1"/>
            </xdr:cNvSpPr>
          </xdr:nvSpPr>
          <xdr:spPr>
            <a:xfrm>
              <a:off x="0" y="571501"/>
              <a:ext cx="1803400" cy="1549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12700</xdr:colOff>
      <xdr:row>3</xdr:row>
      <xdr:rowOff>25400</xdr:rowOff>
    </xdr:from>
    <xdr:to>
      <xdr:col>6</xdr:col>
      <xdr:colOff>12700</xdr:colOff>
      <xdr:row>11</xdr:row>
      <xdr:rowOff>76199</xdr:rowOff>
    </xdr:to>
    <mc:AlternateContent xmlns:mc="http://schemas.openxmlformats.org/markup-compatibility/2006">
      <mc:Choice xmlns:a14="http://schemas.microsoft.com/office/drawing/2010/main" Requires="a14">
        <xdr:graphicFrame macro="">
          <xdr:nvGraphicFramePr>
            <xdr:cNvPr id="3" name="Product_Category 2">
              <a:extLst>
                <a:ext uri="{FF2B5EF4-FFF2-40B4-BE49-F238E27FC236}">
                  <a16:creationId xmlns:a16="http://schemas.microsoft.com/office/drawing/2014/main" id="{3D9F7F04-AD63-49B4-9FE3-6D3B0C0A713C}"/>
                </a:ext>
              </a:extLst>
            </xdr:cNvPr>
            <xdr:cNvGraphicFramePr/>
          </xdr:nvGraphicFramePr>
          <xdr:xfrm>
            <a:off x="0" y="0"/>
            <a:ext cx="0" cy="0"/>
          </xdr:xfrm>
          <a:graphic>
            <a:graphicData uri="http://schemas.microsoft.com/office/drawing/2010/slicer">
              <sle:slicer xmlns:sle="http://schemas.microsoft.com/office/drawing/2010/slicer" name="Product_Category 2"/>
            </a:graphicData>
          </a:graphic>
        </xdr:graphicFrame>
      </mc:Choice>
      <mc:Fallback>
        <xdr:sp macro="" textlink="">
          <xdr:nvSpPr>
            <xdr:cNvPr id="0" name=""/>
            <xdr:cNvSpPr>
              <a:spLocks noTextEdit="1"/>
            </xdr:cNvSpPr>
          </xdr:nvSpPr>
          <xdr:spPr>
            <a:xfrm>
              <a:off x="1841500" y="577850"/>
              <a:ext cx="1828800" cy="1523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25400</xdr:colOff>
      <xdr:row>3</xdr:row>
      <xdr:rowOff>25401</xdr:rowOff>
    </xdr:from>
    <xdr:to>
      <xdr:col>8</xdr:col>
      <xdr:colOff>603250</xdr:colOff>
      <xdr:row>11</xdr:row>
      <xdr:rowOff>76200</xdr:rowOff>
    </xdr:to>
    <mc:AlternateContent xmlns:mc="http://schemas.openxmlformats.org/markup-compatibility/2006">
      <mc:Choice xmlns:a14="http://schemas.microsoft.com/office/drawing/2010/main" Requires="a14">
        <xdr:graphicFrame macro="">
          <xdr:nvGraphicFramePr>
            <xdr:cNvPr id="4" name="Region 2">
              <a:extLst>
                <a:ext uri="{FF2B5EF4-FFF2-40B4-BE49-F238E27FC236}">
                  <a16:creationId xmlns:a16="http://schemas.microsoft.com/office/drawing/2014/main" id="{2F595391-F1EC-4BF0-9B5B-FB8F87A8F6E9}"/>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3683000" y="577851"/>
              <a:ext cx="1797050" cy="1523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114300</xdr:colOff>
      <xdr:row>11</xdr:row>
      <xdr:rowOff>120650</xdr:rowOff>
    </xdr:from>
    <xdr:to>
      <xdr:col>6</xdr:col>
      <xdr:colOff>184150</xdr:colOff>
      <xdr:row>24</xdr:row>
      <xdr:rowOff>50800</xdr:rowOff>
    </xdr:to>
    <xdr:graphicFrame macro="">
      <xdr:nvGraphicFramePr>
        <xdr:cNvPr id="5" name="Chart 4">
          <a:extLst>
            <a:ext uri="{FF2B5EF4-FFF2-40B4-BE49-F238E27FC236}">
              <a16:creationId xmlns:a16="http://schemas.microsoft.com/office/drawing/2014/main" id="{AE274B27-DC8C-418D-9CB3-D687DBBA3C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57150</xdr:colOff>
      <xdr:row>3</xdr:row>
      <xdr:rowOff>31750</xdr:rowOff>
    </xdr:from>
    <xdr:to>
      <xdr:col>14</xdr:col>
      <xdr:colOff>565150</xdr:colOff>
      <xdr:row>11</xdr:row>
      <xdr:rowOff>69850</xdr:rowOff>
    </xdr:to>
    <xdr:graphicFrame macro="">
      <xdr:nvGraphicFramePr>
        <xdr:cNvPr id="7" name="Chart 6">
          <a:extLst>
            <a:ext uri="{FF2B5EF4-FFF2-40B4-BE49-F238E27FC236}">
              <a16:creationId xmlns:a16="http://schemas.microsoft.com/office/drawing/2014/main" id="{158172F3-001C-463A-AAE3-D19F716122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228600</xdr:colOff>
      <xdr:row>11</xdr:row>
      <xdr:rowOff>127000</xdr:rowOff>
    </xdr:from>
    <xdr:to>
      <xdr:col>12</xdr:col>
      <xdr:colOff>241300</xdr:colOff>
      <xdr:row>24</xdr:row>
      <xdr:rowOff>76200</xdr:rowOff>
    </xdr:to>
    <xdr:graphicFrame macro="">
      <xdr:nvGraphicFramePr>
        <xdr:cNvPr id="9" name="Chart 8">
          <a:extLst>
            <a:ext uri="{FF2B5EF4-FFF2-40B4-BE49-F238E27FC236}">
              <a16:creationId xmlns:a16="http://schemas.microsoft.com/office/drawing/2014/main" id="{D4A6E7BB-AF45-4867-9F8D-3C4EC1FC38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330200</xdr:colOff>
      <xdr:row>11</xdr:row>
      <xdr:rowOff>165100</xdr:rowOff>
    </xdr:from>
    <xdr:to>
      <xdr:col>19</xdr:col>
      <xdr:colOff>44450</xdr:colOff>
      <xdr:row>23</xdr:row>
      <xdr:rowOff>165100</xdr:rowOff>
    </xdr:to>
    <xdr:graphicFrame macro="">
      <xdr:nvGraphicFramePr>
        <xdr:cNvPr id="10" name="Chart 9">
          <a:extLst>
            <a:ext uri="{FF2B5EF4-FFF2-40B4-BE49-F238E27FC236}">
              <a16:creationId xmlns:a16="http://schemas.microsoft.com/office/drawing/2014/main" id="{95875496-7300-4524-A605-7555407585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Raychur" refreshedDate="46029.73769652778" createdVersion="7" refreshedVersion="7" minRefreshableVersion="3" recordCount="215" xr:uid="{5A7F3D1F-3025-45E2-8E6B-7672F7D1C80D}">
  <cacheSource type="worksheet">
    <worksheetSource ref="A1:J1048576" sheet="monthly sales growth"/>
  </cacheSource>
  <cacheFields count="10">
    <cacheField name="Customer_ID" numFmtId="0">
      <sharedItems containsBlank="1"/>
    </cacheField>
    <cacheField name="Customer_Name" numFmtId="0">
      <sharedItems containsBlank="1"/>
    </cacheField>
    <cacheField name="Region" numFmtId="0">
      <sharedItems containsBlank="1"/>
    </cacheField>
    <cacheField name="Product_Category" numFmtId="0">
      <sharedItems containsBlank="1"/>
    </cacheField>
    <cacheField name="Sales" numFmtId="0">
      <sharedItems containsString="0" containsBlank="1" containsNumber="1" minValue="258.51" maxValue="1923.66"/>
    </cacheField>
    <cacheField name="Quantity" numFmtId="0">
      <sharedItems containsString="0" containsBlank="1" containsNumber="1" containsInteger="1" minValue="1" maxValue="19"/>
    </cacheField>
    <cacheField name="Discount" numFmtId="0">
      <sharedItems containsString="0" containsBlank="1" containsNumber="1" minValue="0" maxValue="0.2"/>
    </cacheField>
    <cacheField name="Order_Date" numFmtId="0">
      <sharedItems containsNonDate="0" containsDate="1" containsString="0" containsBlank="1" minDate="2024-04-10T00:00:00" maxDate="2025-04-08T00:00:00"/>
    </cacheField>
    <cacheField name="Profit" numFmtId="0">
      <sharedItems containsString="0" containsBlank="1" containsNumber="1" minValue="64.63" maxValue="769.46"/>
    </cacheField>
    <cacheField name="Month" numFmtId="0">
      <sharedItems containsBlank="1" count="14">
        <s v="Apr-2024"/>
        <s v="May-2024"/>
        <s v="Jun-2024"/>
        <s v="Jul-2024"/>
        <s v="Aug-2024"/>
        <s v="Sep-2024"/>
        <s v="Oct-2024"/>
        <s v="Nov-2024"/>
        <s v="Dec-2024"/>
        <s v="Jan-2025"/>
        <s v="Feb-2025"/>
        <s v="Mar-2025"/>
        <s v="Apr-2025"/>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Raychur" refreshedDate="46029.945848148149" createdVersion="7" refreshedVersion="7" minRefreshableVersion="3" recordCount="200" xr:uid="{AA21B964-ED49-446D-B829-44A9E64C0C8A}">
  <cacheSource type="worksheet">
    <worksheetSource ref="A1:I201" sheet="Pivot Table"/>
  </cacheSource>
  <cacheFields count="9">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4">
      <sharedItems containsSemiMixedTypes="0" containsNonDate="0" containsDate="1" containsString="0" minDate="2024-04-10T00:00:00" maxDate="2025-04-08T00:00:00"/>
    </cacheField>
    <cacheField name="Profit" numFmtId="0">
      <sharedItems containsSemiMixedTypes="0" containsString="0" containsNumber="1" minValue="64.63" maxValue="769.46"/>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Raychur" refreshedDate="46030.691671990739" createdVersion="7" refreshedVersion="7" minRefreshableVersion="3" recordCount="200" xr:uid="{487712B5-B5A3-4AC8-8AED-5CAC7291AD7D}">
  <cacheSource type="worksheet">
    <worksheetSource ref="A1:I201" sheet="Data"/>
  </cacheSource>
  <cacheFields count="11">
    <cacheField name="Customer_ID" numFmtId="0">
      <sharedItems/>
    </cacheField>
    <cacheField name="Customer_Name" numFmtId="0">
      <sharedItems count="27">
        <s v="James Davis"/>
        <s v="Robert Anderson"/>
        <s v="James Taylor"/>
        <s v="James Wilson"/>
        <s v="Michael Anderson"/>
        <s v="Linda Wilson"/>
        <s v="Mary Davis"/>
        <s v="Linda Jackson"/>
        <s v="David Thomas"/>
        <s v="Emma Davis"/>
        <s v="David Smith"/>
        <s v="Sarah Anderson"/>
        <s v="Lisa Thomas"/>
        <s v="Mary Jackson"/>
        <s v="Lisa Davis"/>
        <s v="Linda Brown"/>
        <s v="John Brown"/>
        <s v="Linda Taylor"/>
        <s v="David Brown"/>
        <s v="David Davis"/>
        <s v="Mary Wilson"/>
        <s v="Emma Wilson"/>
        <s v="Linda Davis"/>
        <s v="Sarah Davis"/>
        <s v="Emma Taylor"/>
        <s v="Linda Moore"/>
        <s v="David Anderson"/>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ount="200">
        <n v="1036.0899999999999"/>
        <n v="1101.28"/>
        <n v="713.34"/>
        <n v="760.93"/>
        <n v="847"/>
        <n v="965.64"/>
        <n v="1317.53"/>
        <n v="1074.47"/>
        <n v="501.54"/>
        <n v="737.31"/>
        <n v="1572.82"/>
        <n v="1343.13"/>
        <n v="1191.58"/>
        <n v="822.28"/>
        <n v="521.66999999999996"/>
        <n v="1502.93"/>
        <n v="877.58"/>
        <n v="636.70000000000005"/>
        <n v="1506.14"/>
        <n v="645.02"/>
        <n v="953.3"/>
        <n v="388.56"/>
        <n v="743.17"/>
        <n v="706.37"/>
        <n v="925.31"/>
        <n v="1173.1199999999999"/>
        <n v="675.54"/>
        <n v="939.09"/>
        <n v="983.34"/>
        <n v="801.21"/>
        <n v="1450.71"/>
        <n v="1023.21"/>
        <n v="853.72"/>
        <n v="967.89"/>
        <n v="1200.9000000000001"/>
        <n v="472.38"/>
        <n v="840.92"/>
        <n v="1410.06"/>
        <n v="773.09"/>
        <n v="580.42999999999995"/>
        <n v="1151.21"/>
        <n v="1025.98"/>
        <n v="556.41999999999996"/>
        <n v="840.85"/>
        <n v="1227.25"/>
        <n v="856.7"/>
        <n v="1225.42"/>
        <n v="1001.57"/>
        <n v="1186.8499999999999"/>
        <n v="775.45"/>
        <n v="1021.47"/>
        <n v="1226.6199999999999"/>
        <n v="1086.93"/>
        <n v="942.9"/>
        <n v="818.8"/>
        <n v="919.04"/>
        <n v="973.26"/>
        <n v="741.61"/>
        <n v="1248.82"/>
        <n v="1360.36"/>
        <n v="1383.3"/>
        <n v="488.99"/>
        <n v="933.71"/>
        <n v="1005.53"/>
        <n v="1100.0999999999999"/>
        <n v="1034.7"/>
        <n v="876.44"/>
        <n v="1371.34"/>
        <n v="1020.26"/>
        <n v="804.81"/>
        <n v="608.66"/>
        <n v="981.2"/>
        <n v="539.77"/>
        <n v="804.45"/>
        <n v="1526.6"/>
        <n v="1215.26"/>
        <n v="1261.3399999999999"/>
        <n v="518.07000000000005"/>
        <n v="1111.3399999999999"/>
        <n v="1291.47"/>
        <n v="679.71"/>
        <n v="1143.69"/>
        <n v="790.08"/>
        <n v="1070.68"/>
        <n v="1168.8900000000001"/>
        <n v="1335.87"/>
        <n v="873.7"/>
        <n v="1443.98"/>
        <n v="1154.33"/>
        <n v="1264.49"/>
        <n v="1101.55"/>
        <n v="727.73"/>
        <n v="875.41"/>
        <n v="1158.94"/>
        <n v="966.3"/>
        <n v="917.48"/>
        <n v="1172.97"/>
        <n v="1205.82"/>
        <n v="826.93"/>
        <n v="902.19"/>
        <n v="585.97"/>
        <n v="990.19"/>
        <n v="1014.09"/>
        <n v="925.29"/>
        <n v="1286.54"/>
        <n v="961.62"/>
        <n v="1081.1400000000001"/>
        <n v="1923.66"/>
        <n v="728.71"/>
        <n v="1301.8900000000001"/>
        <n v="980.18"/>
        <n v="697.57"/>
        <n v="1193.6099999999999"/>
        <n v="771.02"/>
        <n v="661.09"/>
        <n v="688.83"/>
        <n v="1249.0999999999999"/>
        <n v="1014.22"/>
        <n v="1010.58"/>
        <n v="957.29"/>
        <n v="1077.92"/>
        <n v="1163.01"/>
        <n v="1014.56"/>
        <n v="718.04"/>
        <n v="1277.8499999999999"/>
        <n v="706.73"/>
        <n v="1410.59"/>
        <n v="1350.33"/>
        <n v="919.18"/>
        <n v="258.51"/>
        <n v="1213.48"/>
        <n v="1150.28"/>
        <n v="853.86"/>
        <n v="1061.04"/>
        <n v="894.55"/>
        <n v="833.91"/>
        <n v="820.19"/>
        <n v="511.74"/>
        <n v="806.03"/>
        <n v="1432.47"/>
        <n v="1488.58"/>
        <n v="1231.26"/>
        <n v="1161.67"/>
        <n v="388.23"/>
        <n v="1589.42"/>
        <n v="336.66"/>
        <n v="1353.79"/>
        <n v="662.61"/>
        <n v="309.42"/>
        <n v="884.63"/>
        <n v="745.05"/>
        <n v="870.23"/>
        <n v="862.19"/>
        <n v="1171.18"/>
        <n v="1054.56"/>
        <n v="1681.21"/>
        <n v="379.77"/>
        <n v="1076.33"/>
        <n v="1250.71"/>
        <n v="1118.3399999999999"/>
        <n v="1622.62"/>
        <n v="640.64"/>
        <n v="585.16"/>
        <n v="1109.98"/>
        <n v="1098.08"/>
        <n v="827.25"/>
        <n v="741.88"/>
        <n v="1311.26"/>
        <n v="573.32000000000005"/>
        <n v="1115.22"/>
        <n v="845.84"/>
        <n v="1029.8"/>
        <n v="1189.83"/>
        <n v="704.28"/>
        <n v="1618.22"/>
        <n v="1014.43"/>
        <n v="826.97"/>
        <n v="1022.23"/>
        <n v="1099.69"/>
        <n v="710.52"/>
        <n v="499.18"/>
        <n v="1064.19"/>
        <n v="438.76"/>
        <n v="864.98"/>
        <n v="984.93"/>
        <n v="1493.49"/>
        <n v="689.43"/>
        <n v="682.24"/>
        <n v="458.54"/>
        <n v="1184.25"/>
        <n v="762.14"/>
        <n v="750.71"/>
        <n v="1456.94"/>
        <n v="1093.3800000000001"/>
        <n v="934.27"/>
        <n v="1465.35"/>
        <n v="740.8"/>
        <n v="545.44000000000005"/>
        <n v="997.61"/>
        <n v="928.32"/>
      </sharedItems>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10" base="7">
        <rangePr groupBy="months" startDate="2024-04-10T00:00:00" endDate="2025-04-08T00:00:00"/>
        <groupItems count="14">
          <s v="&lt;4/10/2024"/>
          <s v="Jan"/>
          <s v="Feb"/>
          <s v="Mar"/>
          <s v="Apr"/>
          <s v="May"/>
          <s v="Jun"/>
          <s v="Jul"/>
          <s v="Aug"/>
          <s v="Sep"/>
          <s v="Oct"/>
          <s v="Nov"/>
          <s v="Dec"/>
          <s v="&gt;4/8/2025"/>
        </groupItems>
      </fieldGroup>
    </cacheField>
    <cacheField name="Profit" numFmtId="0">
      <sharedItems containsSemiMixedTypes="0" containsString="0" containsNumber="1" minValue="64.63" maxValue="769.46"/>
    </cacheField>
    <cacheField name="Quarters" numFmtId="0" databaseField="0">
      <fieldGroup base="7">
        <rangePr groupBy="quarters" startDate="2024-04-10T00:00:00" endDate="2025-04-08T00:00:00"/>
        <groupItems count="6">
          <s v="&lt;4/10/2024"/>
          <s v="Qtr1"/>
          <s v="Qtr2"/>
          <s v="Qtr3"/>
          <s v="Qtr4"/>
          <s v="&gt;4/8/2025"/>
        </groupItems>
      </fieldGroup>
    </cacheField>
    <cacheField name="Years" numFmtId="0" databaseField="0">
      <fieldGroup base="7">
        <rangePr groupBy="years" startDate="2024-04-10T00:00:00" endDate="2025-04-08T00:00:00"/>
        <groupItems count="4">
          <s v="&lt;4/10/2024"/>
          <s v="2024"/>
          <s v="2025"/>
          <s v="&gt;4/8/2025"/>
        </groupItems>
      </fieldGroup>
    </cacheField>
  </cacheFields>
  <extLst>
    <ext xmlns:x14="http://schemas.microsoft.com/office/spreadsheetml/2009/9/main" uri="{725AE2AE-9491-48be-B2B4-4EB974FC3084}">
      <x14:pivotCacheDefinition pivotCacheId="7011529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
  <r>
    <s v="CUST019"/>
    <s v="James Davis"/>
    <s v="West"/>
    <s v="Books"/>
    <n v="1036.0899999999999"/>
    <n v="4"/>
    <n v="0.2"/>
    <d v="2024-04-10T00:00:00"/>
    <n v="331.55"/>
    <x v="0"/>
  </r>
  <r>
    <s v="CUST012"/>
    <s v="Robert Anderson"/>
    <s v="West"/>
    <s v="Clothing"/>
    <n v="1101.28"/>
    <n v="3"/>
    <n v="0.2"/>
    <d v="2024-04-11T00:00:00"/>
    <n v="440.51"/>
    <x v="0"/>
  </r>
  <r>
    <s v="CUST017"/>
    <s v="James Taylor"/>
    <s v="East"/>
    <s v="Books"/>
    <n v="713.34"/>
    <n v="17"/>
    <n v="0"/>
    <d v="2024-04-14T00:00:00"/>
    <n v="285.33999999999997"/>
    <x v="0"/>
  </r>
  <r>
    <s v="CUST005"/>
    <s v="Robert Anderson"/>
    <s v="South"/>
    <s v="Electronics"/>
    <n v="760.93"/>
    <n v="4"/>
    <n v="0.15"/>
    <d v="2024-04-14T00:00:00"/>
    <n v="161.69999999999999"/>
    <x v="0"/>
  </r>
  <r>
    <s v="CUST030"/>
    <s v="James Wilson"/>
    <s v="North"/>
    <s v="Books"/>
    <n v="847"/>
    <n v="12"/>
    <n v="0.2"/>
    <d v="2024-04-15T00:00:00"/>
    <n v="271.04000000000002"/>
    <x v="0"/>
  </r>
  <r>
    <s v="CUST007"/>
    <s v="Michael Anderson"/>
    <s v="North"/>
    <s v="Furniture"/>
    <n v="965.64"/>
    <n v="8"/>
    <n v="0.1"/>
    <d v="2024-04-16T00:00:00"/>
    <n v="304.18"/>
    <x v="0"/>
  </r>
  <r>
    <s v="CUST001"/>
    <s v="Linda Wilson"/>
    <s v="West"/>
    <s v="Electronics"/>
    <n v="1317.53"/>
    <n v="12"/>
    <n v="0.05"/>
    <d v="2024-04-16T00:00:00"/>
    <n v="312.91000000000003"/>
    <x v="0"/>
  </r>
  <r>
    <s v="CUST026"/>
    <s v="Mary Davis"/>
    <s v="East"/>
    <s v="Furniture"/>
    <n v="1074.47"/>
    <n v="6"/>
    <n v="0.2"/>
    <d v="2024-04-19T00:00:00"/>
    <n v="300.85000000000002"/>
    <x v="0"/>
  </r>
  <r>
    <s v="CUST009"/>
    <s v="Linda Jackson"/>
    <s v="Central"/>
    <s v="Books"/>
    <n v="501.54"/>
    <n v="11"/>
    <n v="0.05"/>
    <d v="2024-04-19T00:00:00"/>
    <n v="190.59"/>
    <x v="0"/>
  </r>
  <r>
    <s v="CUST010"/>
    <s v="David Thomas"/>
    <s v="Central"/>
    <s v="Clothing"/>
    <n v="737.31"/>
    <n v="2"/>
    <n v="0.05"/>
    <d v="2024-04-19T00:00:00"/>
    <n v="350.22"/>
    <x v="0"/>
  </r>
  <r>
    <s v="CUST014"/>
    <s v="Emma Davis"/>
    <s v="West"/>
    <s v="Office Supplies"/>
    <n v="1572.82"/>
    <n v="6"/>
    <n v="0.05"/>
    <d v="2024-04-20T00:00:00"/>
    <n v="672.38"/>
    <x v="0"/>
  </r>
  <r>
    <s v="CUST014"/>
    <s v="David Thomas"/>
    <s v="Central"/>
    <s v="Books"/>
    <n v="1343.13"/>
    <n v="14"/>
    <n v="0.15"/>
    <d v="2024-04-22T00:00:00"/>
    <n v="456.66"/>
    <x v="0"/>
  </r>
  <r>
    <s v="CUST007"/>
    <s v="Michael Anderson"/>
    <s v="Central"/>
    <s v="Books"/>
    <n v="1191.58"/>
    <n v="14"/>
    <n v="0.05"/>
    <d v="2024-04-24T00:00:00"/>
    <n v="452.8"/>
    <x v="0"/>
  </r>
  <r>
    <s v="CUST023"/>
    <s v="Robert Anderson"/>
    <s v="West"/>
    <s v="Furniture"/>
    <n v="822.28"/>
    <n v="7"/>
    <n v="0.05"/>
    <d v="2024-04-24T00:00:00"/>
    <n v="273.41000000000003"/>
    <x v="0"/>
  </r>
  <r>
    <s v="CUST029"/>
    <s v="David Smith"/>
    <s v="North"/>
    <s v="Furniture"/>
    <n v="521.66999999999996"/>
    <n v="15"/>
    <n v="0.15"/>
    <d v="2024-04-27T00:00:00"/>
    <n v="155.19999999999999"/>
    <x v="0"/>
  </r>
  <r>
    <s v="CUST005"/>
    <s v="Sarah Anderson"/>
    <s v="South"/>
    <s v="Electronics"/>
    <n v="1502.93"/>
    <n v="14"/>
    <n v="0.2"/>
    <d v="2024-04-28T00:00:00"/>
    <n v="300.58999999999997"/>
    <x v="0"/>
  </r>
  <r>
    <s v="CUST008"/>
    <s v="Robert Anderson"/>
    <s v="South"/>
    <s v="Books"/>
    <n v="877.58"/>
    <n v="10"/>
    <n v="0.15"/>
    <d v="2024-04-29T00:00:00"/>
    <n v="298.38"/>
    <x v="0"/>
  </r>
  <r>
    <s v="CUST001"/>
    <s v="Lisa Thomas"/>
    <s v="West"/>
    <s v="Books"/>
    <n v="636.70000000000005"/>
    <n v="4"/>
    <n v="0.2"/>
    <d v="2024-04-29T00:00:00"/>
    <n v="203.74"/>
    <x v="0"/>
  </r>
  <r>
    <s v="CUST006"/>
    <s v="Mary Jackson"/>
    <s v="West"/>
    <s v="Books"/>
    <n v="1506.14"/>
    <n v="13"/>
    <n v="0.2"/>
    <d v="2024-04-30T00:00:00"/>
    <n v="481.96"/>
    <x v="0"/>
  </r>
  <r>
    <s v="CUST026"/>
    <s v="Mary Davis"/>
    <s v="Central"/>
    <s v="Electronics"/>
    <n v="645.02"/>
    <n v="4"/>
    <n v="0"/>
    <d v="2024-05-02T00:00:00"/>
    <n v="161.26"/>
    <x v="1"/>
  </r>
  <r>
    <s v="CUST007"/>
    <s v="Lisa Davis"/>
    <s v="South"/>
    <s v="Clothing"/>
    <n v="953.3"/>
    <n v="11"/>
    <n v="0"/>
    <d v="2024-05-03T00:00:00"/>
    <n v="476.65"/>
    <x v="1"/>
  </r>
  <r>
    <s v="CUST022"/>
    <s v="Robert Anderson"/>
    <s v="North"/>
    <s v="Electronics"/>
    <n v="388.56"/>
    <n v="14"/>
    <n v="0.15"/>
    <d v="2024-05-04T00:00:00"/>
    <n v="82.57"/>
    <x v="1"/>
  </r>
  <r>
    <s v="CUST019"/>
    <s v="Mary Davis"/>
    <s v="West"/>
    <s v="Books"/>
    <n v="743.17"/>
    <n v="9"/>
    <n v="0"/>
    <d v="2024-05-04T00:00:00"/>
    <n v="297.27"/>
    <x v="1"/>
  </r>
  <r>
    <s v="CUST023"/>
    <s v="Mary Davis"/>
    <s v="Central"/>
    <s v="Electronics"/>
    <n v="706.37"/>
    <n v="6"/>
    <n v="0"/>
    <d v="2024-05-04T00:00:00"/>
    <n v="176.59"/>
    <x v="1"/>
  </r>
  <r>
    <s v="CUST012"/>
    <s v="Mary Davis"/>
    <s v="Central"/>
    <s v="Office Supplies"/>
    <n v="925.31"/>
    <n v="8"/>
    <n v="0.1"/>
    <d v="2024-05-06T00:00:00"/>
    <n v="374.75"/>
    <x v="1"/>
  </r>
  <r>
    <s v="CUST010"/>
    <s v="Linda Brown"/>
    <s v="South"/>
    <s v="Electronics"/>
    <n v="1173.1199999999999"/>
    <n v="18"/>
    <n v="0"/>
    <d v="2024-05-06T00:00:00"/>
    <n v="293.27999999999997"/>
    <x v="1"/>
  </r>
  <r>
    <s v="CUST030"/>
    <s v="John Brown"/>
    <s v="North"/>
    <s v="Furniture"/>
    <n v="675.54"/>
    <n v="17"/>
    <n v="0"/>
    <d v="2024-05-08T00:00:00"/>
    <n v="236.44"/>
    <x v="1"/>
  </r>
  <r>
    <s v="CUST007"/>
    <s v="Robert Anderson"/>
    <s v="Central"/>
    <s v="Books"/>
    <n v="939.09"/>
    <n v="2"/>
    <n v="0.05"/>
    <d v="2024-05-10T00:00:00"/>
    <n v="356.85"/>
    <x v="1"/>
  </r>
  <r>
    <s v="CUST028"/>
    <s v="Linda Taylor"/>
    <s v="East"/>
    <s v="Office Supplies"/>
    <n v="983.34"/>
    <n v="19"/>
    <n v="0.1"/>
    <d v="2024-05-14T00:00:00"/>
    <n v="398.25"/>
    <x v="1"/>
  </r>
  <r>
    <s v="CUST028"/>
    <s v="James Wilson"/>
    <s v="South"/>
    <s v="Electronics"/>
    <n v="801.21"/>
    <n v="3"/>
    <n v="0.2"/>
    <d v="2024-05-14T00:00:00"/>
    <n v="160.24"/>
    <x v="1"/>
  </r>
  <r>
    <s v="CUST025"/>
    <s v="David Brown"/>
    <s v="North"/>
    <s v="Electronics"/>
    <n v="1450.71"/>
    <n v="5"/>
    <n v="0.1"/>
    <d v="2024-05-15T00:00:00"/>
    <n v="326.41000000000003"/>
    <x v="1"/>
  </r>
  <r>
    <s v="CUST022"/>
    <s v="David Davis"/>
    <s v="Central"/>
    <s v="Books"/>
    <n v="1023.21"/>
    <n v="18"/>
    <n v="0.05"/>
    <d v="2024-05-16T00:00:00"/>
    <n v="388.82"/>
    <x v="1"/>
  </r>
  <r>
    <s v="CUST001"/>
    <s v="Mary Jackson"/>
    <s v="West"/>
    <s v="Furniture"/>
    <n v="853.72"/>
    <n v="5"/>
    <n v="0.15"/>
    <d v="2024-05-16T00:00:00"/>
    <n v="253.98"/>
    <x v="1"/>
  </r>
  <r>
    <s v="CUST021"/>
    <s v="Sarah Anderson"/>
    <s v="South"/>
    <s v="Electronics"/>
    <n v="967.89"/>
    <n v="10"/>
    <n v="0.1"/>
    <d v="2024-05-17T00:00:00"/>
    <n v="217.78"/>
    <x v="1"/>
  </r>
  <r>
    <s v="CUST015"/>
    <s v="Linda Taylor"/>
    <s v="North"/>
    <s v="Office Supplies"/>
    <n v="1200.9000000000001"/>
    <n v="14"/>
    <n v="0.05"/>
    <d v="2024-05-17T00:00:00"/>
    <n v="513.38"/>
    <x v="1"/>
  </r>
  <r>
    <s v="CUST012"/>
    <s v="Michael Anderson"/>
    <s v="West"/>
    <s v="Books"/>
    <n v="472.38"/>
    <n v="12"/>
    <n v="0.2"/>
    <d v="2024-05-17T00:00:00"/>
    <n v="151.16"/>
    <x v="1"/>
  </r>
  <r>
    <s v="CUST019"/>
    <s v="David Brown"/>
    <s v="East"/>
    <s v="Office Supplies"/>
    <n v="840.92"/>
    <n v="9"/>
    <n v="0.05"/>
    <d v="2024-05-17T00:00:00"/>
    <n v="359.49"/>
    <x v="1"/>
  </r>
  <r>
    <s v="CUST028"/>
    <s v="Lisa Davis"/>
    <s v="Central"/>
    <s v="Furniture"/>
    <n v="1410.06"/>
    <n v="11"/>
    <n v="0.05"/>
    <d v="2024-05-22T00:00:00"/>
    <n v="468.84"/>
    <x v="1"/>
  </r>
  <r>
    <s v="CUST008"/>
    <s v="Mary Wilson"/>
    <s v="Central"/>
    <s v="Furniture"/>
    <n v="773.09"/>
    <n v="13"/>
    <n v="0.15"/>
    <d v="2024-05-22T00:00:00"/>
    <n v="229.99"/>
    <x v="1"/>
  </r>
  <r>
    <s v="CUST016"/>
    <s v="Emma Wilson"/>
    <s v="East"/>
    <s v="Books"/>
    <n v="580.42999999999995"/>
    <n v="19"/>
    <n v="0.15"/>
    <d v="2024-05-23T00:00:00"/>
    <n v="197.35"/>
    <x v="1"/>
  </r>
  <r>
    <s v="CUST005"/>
    <s v="David Smith"/>
    <s v="South"/>
    <s v="Books"/>
    <n v="1151.21"/>
    <n v="15"/>
    <n v="0.1"/>
    <d v="2024-06-02T00:00:00"/>
    <n v="414.44"/>
    <x v="2"/>
  </r>
  <r>
    <s v="CUST028"/>
    <s v="James Wilson"/>
    <s v="Central"/>
    <s v="Office Supplies"/>
    <n v="1025.98"/>
    <n v="5"/>
    <n v="0.2"/>
    <d v="2024-06-04T00:00:00"/>
    <n v="369.35"/>
    <x v="2"/>
  </r>
  <r>
    <s v="CUST023"/>
    <s v="David Davis"/>
    <s v="East"/>
    <s v="Office Supplies"/>
    <n v="556.41999999999996"/>
    <n v="11"/>
    <n v="0.15"/>
    <d v="2024-06-04T00:00:00"/>
    <n v="212.83"/>
    <x v="2"/>
  </r>
  <r>
    <s v="CUST021"/>
    <s v="James Wilson"/>
    <s v="Central"/>
    <s v="Books"/>
    <n v="840.85"/>
    <n v="19"/>
    <n v="0.1"/>
    <d v="2024-06-05T00:00:00"/>
    <n v="302.70999999999998"/>
    <x v="2"/>
  </r>
  <r>
    <s v="CUST026"/>
    <s v="Emma Wilson"/>
    <s v="North"/>
    <s v="Furniture"/>
    <n v="1227.25"/>
    <n v="12"/>
    <n v="0.15"/>
    <d v="2024-06-05T00:00:00"/>
    <n v="365.11"/>
    <x v="2"/>
  </r>
  <r>
    <s v="CUST017"/>
    <s v="Linda Davis"/>
    <s v="Central"/>
    <s v="Electronics"/>
    <n v="856.7"/>
    <n v="2"/>
    <n v="0"/>
    <d v="2024-06-06T00:00:00"/>
    <n v="214.18"/>
    <x v="2"/>
  </r>
  <r>
    <s v="CUST025"/>
    <s v="David Davis"/>
    <s v="Central"/>
    <s v="Office Supplies"/>
    <n v="1225.42"/>
    <n v="8"/>
    <n v="0.15"/>
    <d v="2024-06-06T00:00:00"/>
    <n v="468.72"/>
    <x v="2"/>
  </r>
  <r>
    <s v="CUST011"/>
    <s v="Mary Davis"/>
    <s v="North"/>
    <s v="Office Supplies"/>
    <n v="1001.57"/>
    <n v="12"/>
    <n v="0"/>
    <d v="2024-06-07T00:00:00"/>
    <n v="450.71"/>
    <x v="2"/>
  </r>
  <r>
    <s v="CUST021"/>
    <s v="Michael Anderson"/>
    <s v="East"/>
    <s v="Furniture"/>
    <n v="1186.8499999999999"/>
    <n v="19"/>
    <n v="0.2"/>
    <d v="2024-06-08T00:00:00"/>
    <n v="332.32"/>
    <x v="2"/>
  </r>
  <r>
    <s v="CUST008"/>
    <s v="John Brown"/>
    <s v="South"/>
    <s v="Electronics"/>
    <n v="775.45"/>
    <n v="6"/>
    <n v="0.1"/>
    <d v="2024-06-14T00:00:00"/>
    <n v="174.48"/>
    <x v="2"/>
  </r>
  <r>
    <s v="CUST007"/>
    <s v="Linda Jackson"/>
    <s v="South"/>
    <s v="Electronics"/>
    <n v="1021.47"/>
    <n v="6"/>
    <n v="0.05"/>
    <d v="2024-06-18T00:00:00"/>
    <n v="242.6"/>
    <x v="2"/>
  </r>
  <r>
    <s v="CUST015"/>
    <s v="James Wilson"/>
    <s v="South"/>
    <s v="Clothing"/>
    <n v="1226.6199999999999"/>
    <n v="7"/>
    <n v="0.1"/>
    <d v="2024-06-20T00:00:00"/>
    <n v="551.98"/>
    <x v="2"/>
  </r>
  <r>
    <s v="CUST030"/>
    <s v="Sarah Davis"/>
    <s v="South"/>
    <s v="Furniture"/>
    <n v="1086.93"/>
    <n v="2"/>
    <n v="0"/>
    <d v="2024-06-21T00:00:00"/>
    <n v="380.43"/>
    <x v="2"/>
  </r>
  <r>
    <s v="CUST002"/>
    <s v="Lisa Davis"/>
    <s v="West"/>
    <s v="Books"/>
    <n v="942.9"/>
    <n v="18"/>
    <n v="0.1"/>
    <d v="2024-06-23T00:00:00"/>
    <n v="339.44"/>
    <x v="2"/>
  </r>
  <r>
    <s v="CUST009"/>
    <s v="Emma Davis"/>
    <s v="North"/>
    <s v="Electronics"/>
    <n v="818.8"/>
    <n v="15"/>
    <n v="0.15"/>
    <d v="2024-06-25T00:00:00"/>
    <n v="173.99"/>
    <x v="2"/>
  </r>
  <r>
    <s v="CUST005"/>
    <s v="Robert Anderson"/>
    <s v="South"/>
    <s v="Furniture"/>
    <n v="919.04"/>
    <n v="10"/>
    <n v="0.2"/>
    <d v="2024-06-25T00:00:00"/>
    <n v="257.33"/>
    <x v="2"/>
  </r>
  <r>
    <s v="CUST030"/>
    <s v="Emma Taylor"/>
    <s v="Central"/>
    <s v="Books"/>
    <n v="973.26"/>
    <n v="11"/>
    <n v="0"/>
    <d v="2024-06-27T00:00:00"/>
    <n v="389.3"/>
    <x v="2"/>
  </r>
  <r>
    <s v="CUST029"/>
    <s v="Sarah Davis"/>
    <s v="North"/>
    <s v="Electronics"/>
    <n v="741.61"/>
    <n v="1"/>
    <n v="0.2"/>
    <d v="2024-06-28T00:00:00"/>
    <n v="148.32"/>
    <x v="2"/>
  </r>
  <r>
    <s v="CUST003"/>
    <s v="Emma Davis"/>
    <s v="North"/>
    <s v="Books"/>
    <n v="1248.82"/>
    <n v="2"/>
    <n v="0.1"/>
    <d v="2024-06-30T00:00:00"/>
    <n v="449.58"/>
    <x v="2"/>
  </r>
  <r>
    <s v="CUST012"/>
    <s v="Mary Wilson"/>
    <s v="West"/>
    <s v="Clothing"/>
    <n v="1360.36"/>
    <n v="17"/>
    <n v="0"/>
    <d v="2024-06-30T00:00:00"/>
    <n v="680.18"/>
    <x v="2"/>
  </r>
  <r>
    <s v="CUST021"/>
    <s v="Mary Davis"/>
    <s v="East"/>
    <s v="Books"/>
    <n v="1383.3"/>
    <n v="8"/>
    <n v="0.1"/>
    <d v="2024-07-05T00:00:00"/>
    <n v="497.99"/>
    <x v="3"/>
  </r>
  <r>
    <s v="CUST010"/>
    <s v="David Brown"/>
    <s v="Central"/>
    <s v="Office Supplies"/>
    <n v="488.99"/>
    <n v="9"/>
    <n v="0"/>
    <d v="2024-07-06T00:00:00"/>
    <n v="220.05"/>
    <x v="3"/>
  </r>
  <r>
    <s v="CUST026"/>
    <s v="Mary Davis"/>
    <s v="East"/>
    <s v="Furniture"/>
    <n v="933.71"/>
    <n v="17"/>
    <n v="0.1"/>
    <d v="2024-07-08T00:00:00"/>
    <n v="294.12"/>
    <x v="3"/>
  </r>
  <r>
    <s v="CUST003"/>
    <s v="James Davis"/>
    <s v="West"/>
    <s v="Electronics"/>
    <n v="1005.53"/>
    <n v="17"/>
    <n v="0.2"/>
    <d v="2024-07-08T00:00:00"/>
    <n v="201.11"/>
    <x v="3"/>
  </r>
  <r>
    <s v="CUST029"/>
    <s v="Emma Wilson"/>
    <s v="South"/>
    <s v="Electronics"/>
    <n v="1100.0999999999999"/>
    <n v="5"/>
    <n v="0.05"/>
    <d v="2024-07-09T00:00:00"/>
    <n v="261.27"/>
    <x v="3"/>
  </r>
  <r>
    <s v="CUST003"/>
    <s v="James Wilson"/>
    <s v="North"/>
    <s v="Furniture"/>
    <n v="1034.7"/>
    <n v="15"/>
    <n v="0.15"/>
    <d v="2024-07-14T00:00:00"/>
    <n v="307.82"/>
    <x v="3"/>
  </r>
  <r>
    <s v="CUST002"/>
    <s v="Mary Davis"/>
    <s v="South"/>
    <s v="Books"/>
    <n v="876.44"/>
    <n v="12"/>
    <n v="0.05"/>
    <d v="2024-07-15T00:00:00"/>
    <n v="333.05"/>
    <x v="3"/>
  </r>
  <r>
    <s v="CUST020"/>
    <s v="David Brown"/>
    <s v="West"/>
    <s v="Furniture"/>
    <n v="1371.34"/>
    <n v="5"/>
    <n v="0.05"/>
    <d v="2024-07-15T00:00:00"/>
    <n v="455.97"/>
    <x v="3"/>
  </r>
  <r>
    <s v="CUST021"/>
    <s v="Mary Jackson"/>
    <s v="North"/>
    <s v="Electronics"/>
    <n v="1020.26"/>
    <n v="11"/>
    <n v="0.05"/>
    <d v="2024-07-21T00:00:00"/>
    <n v="242.31"/>
    <x v="3"/>
  </r>
  <r>
    <s v="CUST008"/>
    <s v="James Davis"/>
    <s v="Central"/>
    <s v="Office Supplies"/>
    <n v="804.81"/>
    <n v="1"/>
    <n v="0.05"/>
    <d v="2024-07-29T00:00:00"/>
    <n v="344.06"/>
    <x v="3"/>
  </r>
  <r>
    <s v="CUST030"/>
    <s v="David Brown"/>
    <s v="Central"/>
    <s v="Electronics"/>
    <n v="608.66"/>
    <n v="1"/>
    <n v="0.05"/>
    <d v="2024-07-30T00:00:00"/>
    <n v="144.56"/>
    <x v="3"/>
  </r>
  <r>
    <s v="CUST020"/>
    <s v="Linda Moore"/>
    <s v="South"/>
    <s v="Office Supplies"/>
    <n v="981.2"/>
    <n v="19"/>
    <n v="0"/>
    <d v="2024-07-31T00:00:00"/>
    <n v="441.54"/>
    <x v="3"/>
  </r>
  <r>
    <s v="CUST024"/>
    <s v="David Brown"/>
    <s v="East"/>
    <s v="Electronics"/>
    <n v="539.77"/>
    <n v="10"/>
    <n v="0.15"/>
    <d v="2024-08-05T00:00:00"/>
    <n v="114.7"/>
    <x v="4"/>
  </r>
  <r>
    <s v="CUST012"/>
    <s v="David Anderson"/>
    <s v="South"/>
    <s v="Books"/>
    <n v="804.45"/>
    <n v="5"/>
    <n v="0.2"/>
    <d v="2024-08-05T00:00:00"/>
    <n v="257.42"/>
    <x v="4"/>
  </r>
  <r>
    <s v="CUST024"/>
    <s v="Emma Davis"/>
    <s v="West"/>
    <s v="Electronics"/>
    <n v="1526.6"/>
    <n v="13"/>
    <n v="0.2"/>
    <d v="2024-08-08T00:00:00"/>
    <n v="305.32"/>
    <x v="4"/>
  </r>
  <r>
    <s v="CUST012"/>
    <s v="Linda Wilson"/>
    <s v="West"/>
    <s v="Electronics"/>
    <n v="1215.26"/>
    <n v="5"/>
    <n v="0.15"/>
    <d v="2024-08-09T00:00:00"/>
    <n v="258.24"/>
    <x v="4"/>
  </r>
  <r>
    <s v="CUST005"/>
    <s v="Linda Taylor"/>
    <s v="Central"/>
    <s v="Furniture"/>
    <n v="1261.3399999999999"/>
    <n v="3"/>
    <n v="0"/>
    <d v="2024-08-15T00:00:00"/>
    <n v="441.47"/>
    <x v="4"/>
  </r>
  <r>
    <s v="CUST004"/>
    <s v="Lisa Thomas"/>
    <s v="North"/>
    <s v="Furniture"/>
    <n v="518.07000000000005"/>
    <n v="7"/>
    <n v="0.05"/>
    <d v="2024-08-18T00:00:00"/>
    <n v="172.26"/>
    <x v="4"/>
  </r>
  <r>
    <s v="CUST026"/>
    <s v="Linda Wilson"/>
    <s v="West"/>
    <s v="Office Supplies"/>
    <n v="1111.3399999999999"/>
    <n v="1"/>
    <n v="0"/>
    <d v="2024-08-19T00:00:00"/>
    <n v="500.1"/>
    <x v="4"/>
  </r>
  <r>
    <s v="CUST030"/>
    <s v="Mary Davis"/>
    <s v="East"/>
    <s v="Clothing"/>
    <n v="1291.47"/>
    <n v="18"/>
    <n v="0.1"/>
    <d v="2024-08-22T00:00:00"/>
    <n v="581.16"/>
    <x v="4"/>
  </r>
  <r>
    <s v="CUST007"/>
    <s v="David Brown"/>
    <s v="North"/>
    <s v="Books"/>
    <n v="679.71"/>
    <n v="19"/>
    <n v="0"/>
    <d v="2024-08-30T00:00:00"/>
    <n v="271.88"/>
    <x v="4"/>
  </r>
  <r>
    <s v="CUST020"/>
    <s v="Linda Jackson"/>
    <s v="East"/>
    <s v="Furniture"/>
    <n v="1143.69"/>
    <n v="17"/>
    <n v="0"/>
    <d v="2024-08-30T00:00:00"/>
    <n v="400.29"/>
    <x v="4"/>
  </r>
  <r>
    <s v="CUST028"/>
    <s v="Linda Brown"/>
    <s v="Central"/>
    <s v="Electronics"/>
    <n v="790.08"/>
    <n v="7"/>
    <n v="0.1"/>
    <d v="2024-09-01T00:00:00"/>
    <n v="177.77"/>
    <x v="5"/>
  </r>
  <r>
    <s v="CUST005"/>
    <s v="Lisa Davis"/>
    <s v="Central"/>
    <s v="Books"/>
    <n v="1070.68"/>
    <n v="7"/>
    <n v="0.05"/>
    <d v="2024-09-01T00:00:00"/>
    <n v="406.86"/>
    <x v="5"/>
  </r>
  <r>
    <s v="CUST015"/>
    <s v="David Thomas"/>
    <s v="West"/>
    <s v="Clothing"/>
    <n v="1168.8900000000001"/>
    <n v="4"/>
    <n v="0.1"/>
    <d v="2024-09-09T00:00:00"/>
    <n v="526"/>
    <x v="5"/>
  </r>
  <r>
    <s v="CUST003"/>
    <s v="James Davis"/>
    <s v="South"/>
    <s v="Electronics"/>
    <n v="1335.87"/>
    <n v="17"/>
    <n v="0"/>
    <d v="2024-09-09T00:00:00"/>
    <n v="333.97"/>
    <x v="5"/>
  </r>
  <r>
    <s v="CUST023"/>
    <s v="David Brown"/>
    <s v="East"/>
    <s v="Furniture"/>
    <n v="873.7"/>
    <n v="9"/>
    <n v="0"/>
    <d v="2024-09-11T00:00:00"/>
    <n v="305.8"/>
    <x v="5"/>
  </r>
  <r>
    <s v="CUST004"/>
    <s v="Sarah Davis"/>
    <s v="West"/>
    <s v="Office Supplies"/>
    <n v="1443.98"/>
    <n v="19"/>
    <n v="0"/>
    <d v="2024-09-12T00:00:00"/>
    <n v="649.79"/>
    <x v="5"/>
  </r>
  <r>
    <s v="CUST023"/>
    <s v="James Wilson"/>
    <s v="East"/>
    <s v="Office Supplies"/>
    <n v="1154.33"/>
    <n v="11"/>
    <n v="0.15"/>
    <d v="2024-09-14T00:00:00"/>
    <n v="441.53"/>
    <x v="5"/>
  </r>
  <r>
    <s v="CUST022"/>
    <s v="Linda Brown"/>
    <s v="South"/>
    <s v="Books"/>
    <n v="1264.49"/>
    <n v="16"/>
    <n v="0.05"/>
    <d v="2024-09-14T00:00:00"/>
    <n v="480.51"/>
    <x v="5"/>
  </r>
  <r>
    <s v="CUST007"/>
    <s v="Emma Taylor"/>
    <s v="West"/>
    <s v="Furniture"/>
    <n v="1101.55"/>
    <n v="4"/>
    <n v="0.1"/>
    <d v="2024-09-16T00:00:00"/>
    <n v="346.99"/>
    <x v="5"/>
  </r>
  <r>
    <s v="CUST013"/>
    <s v="Robert Anderson"/>
    <s v="South"/>
    <s v="Furniture"/>
    <n v="727.73"/>
    <n v="1"/>
    <n v="0.1"/>
    <d v="2024-09-17T00:00:00"/>
    <n v="229.23"/>
    <x v="5"/>
  </r>
  <r>
    <s v="CUST027"/>
    <s v="Emma Davis"/>
    <s v="East"/>
    <s v="Office Supplies"/>
    <n v="875.41"/>
    <n v="13"/>
    <n v="0.15"/>
    <d v="2024-09-17T00:00:00"/>
    <n v="334.84"/>
    <x v="5"/>
  </r>
  <r>
    <s v="CUST003"/>
    <s v="James Wilson"/>
    <s v="West"/>
    <s v="Electronics"/>
    <n v="1158.94"/>
    <n v="19"/>
    <n v="0.2"/>
    <d v="2024-09-18T00:00:00"/>
    <n v="231.79"/>
    <x v="5"/>
  </r>
  <r>
    <s v="CUST018"/>
    <s v="Mary Jackson"/>
    <s v="South"/>
    <s v="Books"/>
    <n v="966.3"/>
    <n v="2"/>
    <n v="0.15"/>
    <d v="2024-09-22T00:00:00"/>
    <n v="328.54"/>
    <x v="5"/>
  </r>
  <r>
    <s v="CUST020"/>
    <s v="James Taylor"/>
    <s v="South"/>
    <s v="Books"/>
    <n v="917.48"/>
    <n v="6"/>
    <n v="0"/>
    <d v="2024-09-23T00:00:00"/>
    <n v="366.99"/>
    <x v="5"/>
  </r>
  <r>
    <s v="CUST029"/>
    <s v="Emma Wilson"/>
    <s v="West"/>
    <s v="Furniture"/>
    <n v="1172.97"/>
    <n v="7"/>
    <n v="0.15"/>
    <d v="2024-09-24T00:00:00"/>
    <n v="348.96"/>
    <x v="5"/>
  </r>
  <r>
    <s v="CUST021"/>
    <s v="James Wilson"/>
    <s v="North"/>
    <s v="Clothing"/>
    <n v="1205.82"/>
    <n v="11"/>
    <n v="0.1"/>
    <d v="2024-09-24T00:00:00"/>
    <n v="542.62"/>
    <x v="5"/>
  </r>
  <r>
    <s v="CUST017"/>
    <s v="Sarah Davis"/>
    <s v="West"/>
    <s v="Office Supplies"/>
    <n v="826.93"/>
    <n v="10"/>
    <n v="0.2"/>
    <d v="2024-09-29T00:00:00"/>
    <n v="297.69"/>
    <x v="5"/>
  </r>
  <r>
    <s v="CUST003"/>
    <s v="James Wilson"/>
    <s v="Central"/>
    <s v="Clothing"/>
    <n v="902.19"/>
    <n v="12"/>
    <n v="0"/>
    <d v="2024-09-29T00:00:00"/>
    <n v="451.1"/>
    <x v="5"/>
  </r>
  <r>
    <s v="CUST027"/>
    <s v="Emma Davis"/>
    <s v="North"/>
    <s v="Books"/>
    <n v="585.97"/>
    <n v="17"/>
    <n v="0.1"/>
    <d v="2024-09-30T00:00:00"/>
    <n v="210.95"/>
    <x v="5"/>
  </r>
  <r>
    <s v="CUST016"/>
    <s v="Michael Anderson"/>
    <s v="North"/>
    <s v="Clothing"/>
    <n v="990.19"/>
    <n v="8"/>
    <n v="0.1"/>
    <d v="2024-09-30T00:00:00"/>
    <n v="445.59"/>
    <x v="5"/>
  </r>
  <r>
    <s v="CUST008"/>
    <s v="David Davis"/>
    <s v="Central"/>
    <s v="Electronics"/>
    <n v="1014.09"/>
    <n v="13"/>
    <n v="0.2"/>
    <d v="2024-10-02T00:00:00"/>
    <n v="202.82"/>
    <x v="6"/>
  </r>
  <r>
    <s v="CUST012"/>
    <s v="Lisa Davis"/>
    <s v="North"/>
    <s v="Electronics"/>
    <n v="925.29"/>
    <n v="17"/>
    <n v="0"/>
    <d v="2024-10-05T00:00:00"/>
    <n v="231.32"/>
    <x v="6"/>
  </r>
  <r>
    <s v="CUST025"/>
    <s v="Mary Jackson"/>
    <s v="East"/>
    <s v="Furniture"/>
    <n v="1286.54"/>
    <n v="8"/>
    <n v="0"/>
    <d v="2024-10-10T00:00:00"/>
    <n v="450.29"/>
    <x v="6"/>
  </r>
  <r>
    <s v="CUST014"/>
    <s v="Sarah Davis"/>
    <s v="South"/>
    <s v="Books"/>
    <n v="961.62"/>
    <n v="8"/>
    <n v="0.2"/>
    <d v="2024-10-12T00:00:00"/>
    <n v="307.72000000000003"/>
    <x v="6"/>
  </r>
  <r>
    <s v="CUST008"/>
    <s v="James Wilson"/>
    <s v="East"/>
    <s v="Books"/>
    <n v="1081.1400000000001"/>
    <n v="19"/>
    <n v="0.15"/>
    <d v="2024-10-12T00:00:00"/>
    <n v="367.59"/>
    <x v="6"/>
  </r>
  <r>
    <s v="CUST015"/>
    <s v="James Wilson"/>
    <s v="West"/>
    <s v="Clothing"/>
    <n v="1923.66"/>
    <n v="9"/>
    <n v="0.2"/>
    <d v="2024-10-15T00:00:00"/>
    <n v="769.46"/>
    <x v="6"/>
  </r>
  <r>
    <s v="CUST025"/>
    <s v="Emma Taylor"/>
    <s v="Central"/>
    <s v="Clothing"/>
    <n v="728.71"/>
    <n v="14"/>
    <n v="0.1"/>
    <d v="2024-10-16T00:00:00"/>
    <n v="327.92"/>
    <x v="6"/>
  </r>
  <r>
    <s v="CUST019"/>
    <s v="Linda Jackson"/>
    <s v="Central"/>
    <s v="Clothing"/>
    <n v="1301.8900000000001"/>
    <n v="7"/>
    <n v="0.15"/>
    <d v="2024-10-16T00:00:00"/>
    <n v="553.29999999999995"/>
    <x v="6"/>
  </r>
  <r>
    <s v="CUST024"/>
    <s v="Emma Taylor"/>
    <s v="East"/>
    <s v="Books"/>
    <n v="980.18"/>
    <n v="16"/>
    <n v="0.1"/>
    <d v="2024-10-17T00:00:00"/>
    <n v="352.86"/>
    <x v="6"/>
  </r>
  <r>
    <s v="CUST027"/>
    <s v="James Wilson"/>
    <s v="West"/>
    <s v="Clothing"/>
    <n v="697.57"/>
    <n v="17"/>
    <n v="0.1"/>
    <d v="2024-10-19T00:00:00"/>
    <n v="313.91000000000003"/>
    <x v="6"/>
  </r>
  <r>
    <s v="CUST006"/>
    <s v="David Anderson"/>
    <s v="West"/>
    <s v="Furniture"/>
    <n v="1193.6099999999999"/>
    <n v="1"/>
    <n v="0.15"/>
    <d v="2024-10-19T00:00:00"/>
    <n v="355.1"/>
    <x v="6"/>
  </r>
  <r>
    <s v="CUST009"/>
    <s v="Emma Davis"/>
    <s v="South"/>
    <s v="Electronics"/>
    <n v="771.02"/>
    <n v="1"/>
    <n v="0"/>
    <d v="2024-10-20T00:00:00"/>
    <n v="192.76"/>
    <x v="6"/>
  </r>
  <r>
    <s v="CUST003"/>
    <s v="Linda Moore"/>
    <s v="North"/>
    <s v="Clothing"/>
    <n v="661.09"/>
    <n v="1"/>
    <n v="0.2"/>
    <d v="2024-10-28T00:00:00"/>
    <n v="264.44"/>
    <x v="6"/>
  </r>
  <r>
    <s v="CUST012"/>
    <s v="David Brown"/>
    <s v="West"/>
    <s v="Electronics"/>
    <n v="688.83"/>
    <n v="15"/>
    <n v="0"/>
    <d v="2024-10-30T00:00:00"/>
    <n v="172.21"/>
    <x v="6"/>
  </r>
  <r>
    <s v="CUST013"/>
    <s v="Linda Wilson"/>
    <s v="Central"/>
    <s v="Books"/>
    <n v="1249.0999999999999"/>
    <n v="4"/>
    <n v="0.05"/>
    <d v="2024-11-01T00:00:00"/>
    <n v="474.66"/>
    <x v="7"/>
  </r>
  <r>
    <s v="CUST008"/>
    <s v="James Wilson"/>
    <s v="East"/>
    <s v="Office Supplies"/>
    <n v="1014.22"/>
    <n v="14"/>
    <n v="0.05"/>
    <d v="2024-11-03T00:00:00"/>
    <n v="433.58"/>
    <x v="7"/>
  </r>
  <r>
    <s v="CUST025"/>
    <s v="Lisa Davis"/>
    <s v="East"/>
    <s v="Books"/>
    <n v="1010.58"/>
    <n v="2"/>
    <n v="0.15"/>
    <d v="2024-11-09T00:00:00"/>
    <n v="343.6"/>
    <x v="7"/>
  </r>
  <r>
    <s v="CUST026"/>
    <s v="Mary Wilson"/>
    <s v="North"/>
    <s v="Furniture"/>
    <n v="957.29"/>
    <n v="4"/>
    <n v="0.05"/>
    <d v="2024-11-09T00:00:00"/>
    <n v="318.3"/>
    <x v="7"/>
  </r>
  <r>
    <s v="CUST001"/>
    <s v="Lisa Thomas"/>
    <s v="North"/>
    <s v="Furniture"/>
    <n v="1077.92"/>
    <n v="3"/>
    <n v="0.05"/>
    <d v="2024-11-12T00:00:00"/>
    <n v="358.41"/>
    <x v="7"/>
  </r>
  <r>
    <s v="CUST028"/>
    <s v="Linda Brown"/>
    <s v="South"/>
    <s v="Clothing"/>
    <n v="1163.01"/>
    <n v="5"/>
    <n v="0"/>
    <d v="2024-11-15T00:00:00"/>
    <n v="581.5"/>
    <x v="7"/>
  </r>
  <r>
    <s v="CUST025"/>
    <s v="Lisa Thomas"/>
    <s v="East"/>
    <s v="Office Supplies"/>
    <n v="1014.56"/>
    <n v="10"/>
    <n v="0.1"/>
    <d v="2024-11-16T00:00:00"/>
    <n v="410.9"/>
    <x v="7"/>
  </r>
  <r>
    <s v="CUST019"/>
    <s v="James Taylor"/>
    <s v="South"/>
    <s v="Electronics"/>
    <n v="718.04"/>
    <n v="14"/>
    <n v="0"/>
    <d v="2024-11-17T00:00:00"/>
    <n v="179.51"/>
    <x v="7"/>
  </r>
  <r>
    <s v="CUST004"/>
    <s v="James Taylor"/>
    <s v="Central"/>
    <s v="Clothing"/>
    <n v="1277.8499999999999"/>
    <n v="18"/>
    <n v="0.2"/>
    <d v="2024-11-17T00:00:00"/>
    <n v="511.14"/>
    <x v="7"/>
  </r>
  <r>
    <s v="CUST024"/>
    <s v="James Wilson"/>
    <s v="North"/>
    <s v="Electronics"/>
    <n v="706.73"/>
    <n v="1"/>
    <n v="0.15"/>
    <d v="2024-11-17T00:00:00"/>
    <n v="150.18"/>
    <x v="7"/>
  </r>
  <r>
    <s v="CUST002"/>
    <s v="Linda Brown"/>
    <s v="East"/>
    <s v="Electronics"/>
    <n v="1410.59"/>
    <n v="15"/>
    <n v="0"/>
    <d v="2024-11-19T00:00:00"/>
    <n v="352.65"/>
    <x v="7"/>
  </r>
  <r>
    <s v="CUST009"/>
    <s v="Emma Wilson"/>
    <s v="South"/>
    <s v="Furniture"/>
    <n v="1350.33"/>
    <n v="10"/>
    <n v="0"/>
    <d v="2024-11-19T00:00:00"/>
    <n v="472.62"/>
    <x v="7"/>
  </r>
  <r>
    <s v="CUST029"/>
    <s v="Lisa Thomas"/>
    <s v="East"/>
    <s v="Electronics"/>
    <n v="919.18"/>
    <n v="4"/>
    <n v="0.15"/>
    <d v="2024-11-19T00:00:00"/>
    <n v="195.33"/>
    <x v="7"/>
  </r>
  <r>
    <s v="CUST027"/>
    <s v="James Wilson"/>
    <s v="West"/>
    <s v="Electronics"/>
    <n v="258.51"/>
    <n v="19"/>
    <n v="0"/>
    <d v="2024-11-20T00:00:00"/>
    <n v="64.63"/>
    <x v="7"/>
  </r>
  <r>
    <s v="CUST011"/>
    <s v="Emma Wilson"/>
    <s v="East"/>
    <s v="Books"/>
    <n v="1213.48"/>
    <n v="5"/>
    <n v="0.05"/>
    <d v="2024-11-20T00:00:00"/>
    <n v="461.12"/>
    <x v="7"/>
  </r>
  <r>
    <s v="CUST021"/>
    <s v="Emma Davis"/>
    <s v="Central"/>
    <s v="Books"/>
    <n v="1150.28"/>
    <n v="8"/>
    <n v="0.05"/>
    <d v="2024-11-26T00:00:00"/>
    <n v="437.11"/>
    <x v="7"/>
  </r>
  <r>
    <s v="CUST014"/>
    <s v="David Anderson"/>
    <s v="South"/>
    <s v="Furniture"/>
    <n v="853.86"/>
    <n v="8"/>
    <n v="0.1"/>
    <d v="2024-11-26T00:00:00"/>
    <n v="268.97000000000003"/>
    <x v="7"/>
  </r>
  <r>
    <s v="CUST018"/>
    <s v="Lisa Thomas"/>
    <s v="South"/>
    <s v="Electronics"/>
    <n v="1061.04"/>
    <n v="1"/>
    <n v="0"/>
    <d v="2024-11-28T00:00:00"/>
    <n v="265.26"/>
    <x v="7"/>
  </r>
  <r>
    <s v="CUST001"/>
    <s v="Sarah Anderson"/>
    <s v="West"/>
    <s v="Electronics"/>
    <n v="894.55"/>
    <n v="19"/>
    <n v="0.2"/>
    <d v="2024-11-29T00:00:00"/>
    <n v="178.91"/>
    <x v="7"/>
  </r>
  <r>
    <s v="CUST007"/>
    <s v="Emma Davis"/>
    <s v="North"/>
    <s v="Office Supplies"/>
    <n v="833.91"/>
    <n v="3"/>
    <n v="0.05"/>
    <d v="2024-11-30T00:00:00"/>
    <n v="356.5"/>
    <x v="7"/>
  </r>
  <r>
    <s v="CUST015"/>
    <s v="David Anderson"/>
    <s v="West"/>
    <s v="Furniture"/>
    <n v="820.19"/>
    <n v="4"/>
    <n v="0.2"/>
    <d v="2024-12-04T00:00:00"/>
    <n v="229.65"/>
    <x v="8"/>
  </r>
  <r>
    <s v="CUST015"/>
    <s v="Emma Davis"/>
    <s v="Central"/>
    <s v="Electronics"/>
    <n v="511.74"/>
    <n v="8"/>
    <n v="0.05"/>
    <d v="2024-12-05T00:00:00"/>
    <n v="121.54"/>
    <x v="8"/>
  </r>
  <r>
    <s v="CUST002"/>
    <s v="Emma Wilson"/>
    <s v="South"/>
    <s v="Furniture"/>
    <n v="806.03"/>
    <n v="19"/>
    <n v="0.05"/>
    <d v="2024-12-12T00:00:00"/>
    <n v="268"/>
    <x v="8"/>
  </r>
  <r>
    <s v="CUST001"/>
    <s v="Michael Anderson"/>
    <s v="Central"/>
    <s v="Furniture"/>
    <n v="1432.47"/>
    <n v="16"/>
    <n v="0.15"/>
    <d v="2024-12-14T00:00:00"/>
    <n v="426.16"/>
    <x v="8"/>
  </r>
  <r>
    <s v="CUST027"/>
    <s v="Linda Wilson"/>
    <s v="Central"/>
    <s v="Electronics"/>
    <n v="1488.58"/>
    <n v="10"/>
    <n v="0.15"/>
    <d v="2024-12-14T00:00:00"/>
    <n v="316.32"/>
    <x v="8"/>
  </r>
  <r>
    <s v="CUST026"/>
    <s v="Emma Taylor"/>
    <s v="East"/>
    <s v="Books"/>
    <n v="1231.26"/>
    <n v="9"/>
    <n v="0"/>
    <d v="2024-12-20T00:00:00"/>
    <n v="492.5"/>
    <x v="8"/>
  </r>
  <r>
    <s v="CUST026"/>
    <s v="Sarah Anderson"/>
    <s v="West"/>
    <s v="Electronics"/>
    <n v="1161.67"/>
    <n v="19"/>
    <n v="0.2"/>
    <d v="2024-12-21T00:00:00"/>
    <n v="232.33"/>
    <x v="8"/>
  </r>
  <r>
    <s v="CUST022"/>
    <s v="Lisa Thomas"/>
    <s v="Central"/>
    <s v="Office Supplies"/>
    <n v="388.23"/>
    <n v="16"/>
    <n v="0.05"/>
    <d v="2024-12-24T00:00:00"/>
    <n v="165.97"/>
    <x v="8"/>
  </r>
  <r>
    <s v="CUST004"/>
    <s v="Mary Davis"/>
    <s v="North"/>
    <s v="Clothing"/>
    <n v="1589.42"/>
    <n v="6"/>
    <n v="0.15"/>
    <d v="2024-12-25T00:00:00"/>
    <n v="675.5"/>
    <x v="8"/>
  </r>
  <r>
    <s v="CUST001"/>
    <s v="David Anderson"/>
    <s v="North"/>
    <s v="Clothing"/>
    <n v="336.66"/>
    <n v="13"/>
    <n v="0.2"/>
    <d v="2024-12-25T00:00:00"/>
    <n v="134.66"/>
    <x v="8"/>
  </r>
  <r>
    <s v="CUST022"/>
    <s v="James Wilson"/>
    <s v="West"/>
    <s v="Books"/>
    <n v="1353.79"/>
    <n v="14"/>
    <n v="0.1"/>
    <d v="2024-12-30T00:00:00"/>
    <n v="487.36"/>
    <x v="8"/>
  </r>
  <r>
    <s v="CUST011"/>
    <s v="Linda Moore"/>
    <s v="Central"/>
    <s v="Clothing"/>
    <n v="662.61"/>
    <n v="11"/>
    <n v="0.05"/>
    <d v="2025-01-01T00:00:00"/>
    <n v="314.74"/>
    <x v="9"/>
  </r>
  <r>
    <s v="CUST028"/>
    <s v="Lisa Davis"/>
    <s v="North"/>
    <s v="Office Supplies"/>
    <n v="309.42"/>
    <n v="1"/>
    <n v="0.2"/>
    <d v="2025-01-01T00:00:00"/>
    <n v="111.39"/>
    <x v="9"/>
  </r>
  <r>
    <s v="CUST011"/>
    <s v="Linda Wilson"/>
    <s v="North"/>
    <s v="Books"/>
    <n v="884.63"/>
    <n v="18"/>
    <n v="0.1"/>
    <d v="2025-01-02T00:00:00"/>
    <n v="318.47000000000003"/>
    <x v="9"/>
  </r>
  <r>
    <s v="CUST028"/>
    <s v="James Wilson"/>
    <s v="Central"/>
    <s v="Office Supplies"/>
    <n v="745.05"/>
    <n v="10"/>
    <n v="0.1"/>
    <d v="2025-01-03T00:00:00"/>
    <n v="301.75"/>
    <x v="9"/>
  </r>
  <r>
    <s v="CUST016"/>
    <s v="James Taylor"/>
    <s v="South"/>
    <s v="Clothing"/>
    <n v="870.23"/>
    <n v="5"/>
    <n v="0.05"/>
    <d v="2025-01-03T00:00:00"/>
    <n v="413.36"/>
    <x v="9"/>
  </r>
  <r>
    <s v="CUST010"/>
    <s v="Linda Wilson"/>
    <s v="West"/>
    <s v="Furniture"/>
    <n v="862.19"/>
    <n v="18"/>
    <n v="0.05"/>
    <d v="2025-01-06T00:00:00"/>
    <n v="286.68"/>
    <x v="9"/>
  </r>
  <r>
    <s v="CUST013"/>
    <s v="Mary Wilson"/>
    <s v="North"/>
    <s v="Clothing"/>
    <n v="1171.18"/>
    <n v="19"/>
    <n v="0.05"/>
    <d v="2025-01-10T00:00:00"/>
    <n v="556.30999999999995"/>
    <x v="9"/>
  </r>
  <r>
    <s v="CUST015"/>
    <s v="Robert Anderson"/>
    <s v="South"/>
    <s v="Furniture"/>
    <n v="1054.56"/>
    <n v="11"/>
    <n v="0.1"/>
    <d v="2025-01-12T00:00:00"/>
    <n v="332.19"/>
    <x v="9"/>
  </r>
  <r>
    <s v="CUST015"/>
    <s v="James Wilson"/>
    <s v="North"/>
    <s v="Electronics"/>
    <n v="1681.21"/>
    <n v="5"/>
    <n v="0.2"/>
    <d v="2025-01-13T00:00:00"/>
    <n v="336.24"/>
    <x v="9"/>
  </r>
  <r>
    <s v="CUST015"/>
    <s v="David Thomas"/>
    <s v="West"/>
    <s v="Clothing"/>
    <n v="379.77"/>
    <n v="9"/>
    <n v="0.05"/>
    <d v="2025-01-16T00:00:00"/>
    <n v="180.39"/>
    <x v="9"/>
  </r>
  <r>
    <s v="CUST008"/>
    <s v="Lisa Thomas"/>
    <s v="Central"/>
    <s v="Clothing"/>
    <n v="1076.33"/>
    <n v="2"/>
    <n v="0.1"/>
    <d v="2025-01-17T00:00:00"/>
    <n v="484.35"/>
    <x v="9"/>
  </r>
  <r>
    <s v="CUST008"/>
    <s v="Mary Davis"/>
    <s v="Central"/>
    <s v="Office Supplies"/>
    <n v="1250.71"/>
    <n v="7"/>
    <n v="0"/>
    <d v="2025-01-17T00:00:00"/>
    <n v="562.82000000000005"/>
    <x v="9"/>
  </r>
  <r>
    <s v="CUST023"/>
    <s v="James Taylor"/>
    <s v="South"/>
    <s v="Clothing"/>
    <n v="1118.3399999999999"/>
    <n v="6"/>
    <n v="0.2"/>
    <d v="2025-01-17T00:00:00"/>
    <n v="447.34"/>
    <x v="9"/>
  </r>
  <r>
    <s v="CUST024"/>
    <s v="Linda Taylor"/>
    <s v="North"/>
    <s v="Clothing"/>
    <n v="1622.62"/>
    <n v="12"/>
    <n v="0.2"/>
    <d v="2025-01-20T00:00:00"/>
    <n v="649.04999999999995"/>
    <x v="9"/>
  </r>
  <r>
    <s v="CUST018"/>
    <s v="Lisa Davis"/>
    <s v="North"/>
    <s v="Books"/>
    <n v="640.64"/>
    <n v="11"/>
    <n v="0.2"/>
    <d v="2025-01-21T00:00:00"/>
    <n v="205"/>
    <x v="9"/>
  </r>
  <r>
    <s v="CUST030"/>
    <s v="Sarah Anderson"/>
    <s v="West"/>
    <s v="Clothing"/>
    <n v="585.16"/>
    <n v="17"/>
    <n v="0.1"/>
    <d v="2025-01-27T00:00:00"/>
    <n v="263.32"/>
    <x v="9"/>
  </r>
  <r>
    <s v="CUST030"/>
    <s v="Mary Davis"/>
    <s v="East"/>
    <s v="Clothing"/>
    <n v="1109.98"/>
    <n v="5"/>
    <n v="0.2"/>
    <d v="2025-02-02T00:00:00"/>
    <n v="443.99"/>
    <x v="10"/>
  </r>
  <r>
    <s v="CUST015"/>
    <s v="Lisa Thomas"/>
    <s v="East"/>
    <s v="Books"/>
    <n v="1098.08"/>
    <n v="9"/>
    <n v="0.1"/>
    <d v="2025-02-04T00:00:00"/>
    <n v="395.31"/>
    <x v="10"/>
  </r>
  <r>
    <s v="CUST002"/>
    <s v="Lisa Davis"/>
    <s v="West"/>
    <s v="Office Supplies"/>
    <n v="827.25"/>
    <n v="7"/>
    <n v="0.1"/>
    <d v="2025-02-05T00:00:00"/>
    <n v="335.04"/>
    <x v="10"/>
  </r>
  <r>
    <s v="CUST024"/>
    <s v="Linda Wilson"/>
    <s v="Central"/>
    <s v="Clothing"/>
    <n v="741.88"/>
    <n v="16"/>
    <n v="0.1"/>
    <d v="2025-02-07T00:00:00"/>
    <n v="333.85"/>
    <x v="10"/>
  </r>
  <r>
    <s v="CUST004"/>
    <s v="James Davis"/>
    <s v="East"/>
    <s v="Office Supplies"/>
    <n v="1311.26"/>
    <n v="6"/>
    <n v="0.1"/>
    <d v="2025-02-10T00:00:00"/>
    <n v="531.05999999999995"/>
    <x v="10"/>
  </r>
  <r>
    <s v="CUST004"/>
    <s v="Mary Davis"/>
    <s v="South"/>
    <s v="Office Supplies"/>
    <n v="573.32000000000005"/>
    <n v="19"/>
    <n v="0.1"/>
    <d v="2025-02-15T00:00:00"/>
    <n v="232.19"/>
    <x v="10"/>
  </r>
  <r>
    <s v="CUST028"/>
    <s v="James Wilson"/>
    <s v="West"/>
    <s v="Electronics"/>
    <n v="1115.22"/>
    <n v="14"/>
    <n v="0.2"/>
    <d v="2025-02-17T00:00:00"/>
    <n v="223.04"/>
    <x v="10"/>
  </r>
  <r>
    <s v="CUST012"/>
    <s v="Lisa Thomas"/>
    <s v="North"/>
    <s v="Clothing"/>
    <n v="845.84"/>
    <n v="4"/>
    <n v="0"/>
    <d v="2025-02-19T00:00:00"/>
    <n v="422.92"/>
    <x v="10"/>
  </r>
  <r>
    <s v="CUST026"/>
    <s v="David Brown"/>
    <s v="West"/>
    <s v="Electronics"/>
    <n v="1029.8"/>
    <n v="3"/>
    <n v="0"/>
    <d v="2025-02-20T00:00:00"/>
    <n v="257.45"/>
    <x v="10"/>
  </r>
  <r>
    <s v="CUST009"/>
    <s v="Mary Davis"/>
    <s v="North"/>
    <s v="Books"/>
    <n v="1189.83"/>
    <n v="2"/>
    <n v="0.2"/>
    <d v="2025-02-21T00:00:00"/>
    <n v="380.75"/>
    <x v="10"/>
  </r>
  <r>
    <s v="CUST003"/>
    <s v="Sarah Anderson"/>
    <s v="South"/>
    <s v="Books"/>
    <n v="704.28"/>
    <n v="15"/>
    <n v="0.2"/>
    <d v="2025-02-24T00:00:00"/>
    <n v="225.37"/>
    <x v="10"/>
  </r>
  <r>
    <s v="CUST002"/>
    <s v="Mary Jackson"/>
    <s v="Central"/>
    <s v="Office Supplies"/>
    <n v="1618.22"/>
    <n v="12"/>
    <n v="0.2"/>
    <d v="2025-02-24T00:00:00"/>
    <n v="582.55999999999995"/>
    <x v="10"/>
  </r>
  <r>
    <s v="CUST013"/>
    <s v="Linda Taylor"/>
    <s v="Central"/>
    <s v="Books"/>
    <n v="1014.43"/>
    <n v="2"/>
    <n v="0.15"/>
    <d v="2025-02-25T00:00:00"/>
    <n v="344.91"/>
    <x v="10"/>
  </r>
  <r>
    <s v="CUST018"/>
    <s v="Mary Davis"/>
    <s v="Central"/>
    <s v="Clothing"/>
    <n v="826.97"/>
    <n v="18"/>
    <n v="0.2"/>
    <d v="2025-02-27T00:00:00"/>
    <n v="330.79"/>
    <x v="10"/>
  </r>
  <r>
    <s v="CUST017"/>
    <s v="Mary Davis"/>
    <s v="Central"/>
    <s v="Clothing"/>
    <n v="1022.23"/>
    <n v="8"/>
    <n v="0.1"/>
    <d v="2025-03-01T00:00:00"/>
    <n v="460"/>
    <x v="11"/>
  </r>
  <r>
    <s v="CUST004"/>
    <s v="Linda Wilson"/>
    <s v="East"/>
    <s v="Books"/>
    <n v="1099.69"/>
    <n v="6"/>
    <n v="0"/>
    <d v="2025-03-02T00:00:00"/>
    <n v="439.88"/>
    <x v="11"/>
  </r>
  <r>
    <s v="CUST028"/>
    <s v="Sarah Davis"/>
    <s v="North"/>
    <s v="Books"/>
    <n v="710.52"/>
    <n v="8"/>
    <n v="0.1"/>
    <d v="2025-03-05T00:00:00"/>
    <n v="255.79"/>
    <x v="11"/>
  </r>
  <r>
    <s v="CUST028"/>
    <s v="Mary Wilson"/>
    <s v="North"/>
    <s v="Books"/>
    <n v="499.18"/>
    <n v="15"/>
    <n v="0.2"/>
    <d v="2025-03-08T00:00:00"/>
    <n v="159.74"/>
    <x v="11"/>
  </r>
  <r>
    <s v="CUST014"/>
    <s v="Emma Davis"/>
    <s v="South"/>
    <s v="Books"/>
    <n v="1064.19"/>
    <n v="18"/>
    <n v="0.05"/>
    <d v="2025-03-09T00:00:00"/>
    <n v="404.39"/>
    <x v="11"/>
  </r>
  <r>
    <s v="CUST003"/>
    <s v="Emma Davis"/>
    <s v="East"/>
    <s v="Office Supplies"/>
    <n v="438.76"/>
    <n v="18"/>
    <n v="0.05"/>
    <d v="2025-03-10T00:00:00"/>
    <n v="187.57"/>
    <x v="11"/>
  </r>
  <r>
    <s v="CUST029"/>
    <s v="David Brown"/>
    <s v="West"/>
    <s v="Clothing"/>
    <n v="864.98"/>
    <n v="2"/>
    <n v="0.05"/>
    <d v="2025-03-11T00:00:00"/>
    <n v="410.87"/>
    <x v="11"/>
  </r>
  <r>
    <s v="CUST021"/>
    <s v="David Brown"/>
    <s v="West"/>
    <s v="Furniture"/>
    <n v="984.93"/>
    <n v="14"/>
    <n v="0.2"/>
    <d v="2025-03-17T00:00:00"/>
    <n v="275.77999999999997"/>
    <x v="11"/>
  </r>
  <r>
    <s v="CUST007"/>
    <s v="David Brown"/>
    <s v="West"/>
    <s v="Clothing"/>
    <n v="1493.49"/>
    <n v="18"/>
    <n v="0"/>
    <d v="2025-03-18T00:00:00"/>
    <n v="746.74"/>
    <x v="11"/>
  </r>
  <r>
    <s v="CUST009"/>
    <s v="Linda Taylor"/>
    <s v="South"/>
    <s v="Clothing"/>
    <n v="689.43"/>
    <n v="9"/>
    <n v="0.1"/>
    <d v="2025-03-20T00:00:00"/>
    <n v="310.24"/>
    <x v="11"/>
  </r>
  <r>
    <s v="CUST023"/>
    <s v="Mary Wilson"/>
    <s v="South"/>
    <s v="Clothing"/>
    <n v="682.24"/>
    <n v="1"/>
    <n v="0"/>
    <d v="2025-03-22T00:00:00"/>
    <n v="341.12"/>
    <x v="11"/>
  </r>
  <r>
    <s v="CUST029"/>
    <s v="Michael Anderson"/>
    <s v="North"/>
    <s v="Electronics"/>
    <n v="458.54"/>
    <n v="15"/>
    <n v="0.2"/>
    <d v="2025-03-25T00:00:00"/>
    <n v="91.71"/>
    <x v="11"/>
  </r>
  <r>
    <s v="CUST009"/>
    <s v="Michael Anderson"/>
    <s v="South"/>
    <s v="Furniture"/>
    <n v="1184.25"/>
    <n v="11"/>
    <n v="0.2"/>
    <d v="2025-03-26T00:00:00"/>
    <n v="331.59"/>
    <x v="11"/>
  </r>
  <r>
    <s v="CUST007"/>
    <s v="James Davis"/>
    <s v="South"/>
    <s v="Clothing"/>
    <n v="762.14"/>
    <n v="9"/>
    <n v="0"/>
    <d v="2025-03-27T00:00:00"/>
    <n v="381.07"/>
    <x v="11"/>
  </r>
  <r>
    <s v="CUST030"/>
    <s v="Linda Taylor"/>
    <s v="North"/>
    <s v="Books"/>
    <n v="750.71"/>
    <n v="10"/>
    <n v="0.15"/>
    <d v="2025-03-27T00:00:00"/>
    <n v="255.24"/>
    <x v="11"/>
  </r>
  <r>
    <s v="CUST018"/>
    <s v="David Anderson"/>
    <s v="Central"/>
    <s v="Clothing"/>
    <n v="1456.94"/>
    <n v="14"/>
    <n v="0.05"/>
    <d v="2025-03-29T00:00:00"/>
    <n v="692.05"/>
    <x v="11"/>
  </r>
  <r>
    <s v="CUST008"/>
    <s v="Emma Wilson"/>
    <s v="East"/>
    <s v="Furniture"/>
    <n v="1093.3800000000001"/>
    <n v="17"/>
    <n v="0.1"/>
    <d v="2025-03-29T00:00:00"/>
    <n v="344.41"/>
    <x v="11"/>
  </r>
  <r>
    <s v="CUST014"/>
    <s v="Sarah Anderson"/>
    <s v="West"/>
    <s v="Clothing"/>
    <n v="934.27"/>
    <n v="8"/>
    <n v="0.15"/>
    <d v="2025-03-30T00:00:00"/>
    <n v="397.06"/>
    <x v="11"/>
  </r>
  <r>
    <s v="CUST024"/>
    <s v="David Thomas"/>
    <s v="Central"/>
    <s v="Clothing"/>
    <n v="1465.35"/>
    <n v="8"/>
    <n v="0.2"/>
    <d v="2025-03-30T00:00:00"/>
    <n v="586.14"/>
    <x v="11"/>
  </r>
  <r>
    <s v="CUST028"/>
    <s v="Robert Anderson"/>
    <s v="South"/>
    <s v="Office Supplies"/>
    <n v="740.8"/>
    <n v="3"/>
    <n v="0"/>
    <d v="2025-04-02T00:00:00"/>
    <n v="333.36"/>
    <x v="12"/>
  </r>
  <r>
    <s v="CUST015"/>
    <s v="Sarah Anderson"/>
    <s v="West"/>
    <s v="Office Supplies"/>
    <n v="545.44000000000005"/>
    <n v="17"/>
    <n v="0"/>
    <d v="2025-04-05T00:00:00"/>
    <n v="245.45"/>
    <x v="12"/>
  </r>
  <r>
    <s v="CUST010"/>
    <s v="David Thomas"/>
    <s v="East"/>
    <s v="Books"/>
    <n v="997.61"/>
    <n v="8"/>
    <n v="0.05"/>
    <d v="2025-04-05T00:00:00"/>
    <n v="379.09"/>
    <x v="12"/>
  </r>
  <r>
    <s v="CUST016"/>
    <s v="David Thomas"/>
    <s v="South"/>
    <s v="Clothing"/>
    <n v="928.32"/>
    <n v="2"/>
    <n v="0.05"/>
    <d v="2025-04-07T00:00:00"/>
    <n v="440.95"/>
    <x v="12"/>
  </r>
  <r>
    <m/>
    <m/>
    <m/>
    <m/>
    <m/>
    <m/>
    <m/>
    <m/>
    <m/>
    <x v="13"/>
  </r>
  <r>
    <m/>
    <m/>
    <m/>
    <m/>
    <m/>
    <m/>
    <m/>
    <m/>
    <m/>
    <x v="13"/>
  </r>
  <r>
    <m/>
    <m/>
    <m/>
    <m/>
    <m/>
    <m/>
    <m/>
    <m/>
    <m/>
    <x v="13"/>
  </r>
  <r>
    <m/>
    <m/>
    <m/>
    <m/>
    <m/>
    <m/>
    <m/>
    <m/>
    <m/>
    <x v="13"/>
  </r>
  <r>
    <m/>
    <m/>
    <m/>
    <m/>
    <m/>
    <m/>
    <m/>
    <m/>
    <m/>
    <x v="13"/>
  </r>
  <r>
    <m/>
    <m/>
    <m/>
    <m/>
    <m/>
    <m/>
    <m/>
    <m/>
    <m/>
    <x v="13"/>
  </r>
  <r>
    <m/>
    <m/>
    <m/>
    <m/>
    <m/>
    <m/>
    <m/>
    <m/>
    <m/>
    <x v="13"/>
  </r>
  <r>
    <m/>
    <m/>
    <m/>
    <m/>
    <m/>
    <m/>
    <m/>
    <m/>
    <m/>
    <x v="13"/>
  </r>
  <r>
    <m/>
    <m/>
    <m/>
    <m/>
    <m/>
    <m/>
    <m/>
    <m/>
    <m/>
    <x v="13"/>
  </r>
  <r>
    <m/>
    <m/>
    <m/>
    <m/>
    <m/>
    <m/>
    <m/>
    <m/>
    <m/>
    <x v="13"/>
  </r>
  <r>
    <m/>
    <m/>
    <m/>
    <m/>
    <m/>
    <m/>
    <m/>
    <m/>
    <m/>
    <x v="13"/>
  </r>
  <r>
    <m/>
    <m/>
    <m/>
    <m/>
    <m/>
    <m/>
    <m/>
    <m/>
    <m/>
    <x v="13"/>
  </r>
  <r>
    <m/>
    <m/>
    <m/>
    <m/>
    <m/>
    <m/>
    <m/>
    <m/>
    <m/>
    <x v="13"/>
  </r>
  <r>
    <m/>
    <m/>
    <m/>
    <m/>
    <m/>
    <m/>
    <m/>
    <m/>
    <m/>
    <x v="13"/>
  </r>
  <r>
    <m/>
    <m/>
    <m/>
    <m/>
    <m/>
    <m/>
    <m/>
    <m/>
    <m/>
    <x v="1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x v="0"/>
    <x v="0"/>
    <n v="1036.0899999999999"/>
    <n v="4"/>
    <n v="0.2"/>
    <d v="2024-04-10T00:00:00"/>
    <n v="331.55"/>
  </r>
  <r>
    <s v="CUST012"/>
    <s v="Robert Anderson"/>
    <x v="0"/>
    <x v="1"/>
    <n v="1101.28"/>
    <n v="3"/>
    <n v="0.2"/>
    <d v="2024-04-11T00:00:00"/>
    <n v="440.51"/>
  </r>
  <r>
    <s v="CUST017"/>
    <s v="James Taylor"/>
    <x v="1"/>
    <x v="0"/>
    <n v="713.34"/>
    <n v="17"/>
    <n v="0"/>
    <d v="2024-04-14T00:00:00"/>
    <n v="285.33999999999997"/>
  </r>
  <r>
    <s v="CUST005"/>
    <s v="Robert Anderson"/>
    <x v="2"/>
    <x v="2"/>
    <n v="760.93"/>
    <n v="4"/>
    <n v="0.15"/>
    <d v="2024-04-14T00:00:00"/>
    <n v="161.69999999999999"/>
  </r>
  <r>
    <s v="CUST030"/>
    <s v="James Wilson"/>
    <x v="3"/>
    <x v="0"/>
    <n v="847"/>
    <n v="12"/>
    <n v="0.2"/>
    <d v="2024-04-15T00:00:00"/>
    <n v="271.04000000000002"/>
  </r>
  <r>
    <s v="CUST007"/>
    <s v="Michael Anderson"/>
    <x v="3"/>
    <x v="3"/>
    <n v="965.64"/>
    <n v="8"/>
    <n v="0.1"/>
    <d v="2024-04-16T00:00:00"/>
    <n v="304.18"/>
  </r>
  <r>
    <s v="CUST001"/>
    <s v="Linda Wilson"/>
    <x v="0"/>
    <x v="2"/>
    <n v="1317.53"/>
    <n v="12"/>
    <n v="0.05"/>
    <d v="2024-04-16T00:00:00"/>
    <n v="312.91000000000003"/>
  </r>
  <r>
    <s v="CUST026"/>
    <s v="Mary Davis"/>
    <x v="1"/>
    <x v="3"/>
    <n v="1074.47"/>
    <n v="6"/>
    <n v="0.2"/>
    <d v="2024-04-19T00:00:00"/>
    <n v="300.85000000000002"/>
  </r>
  <r>
    <s v="CUST009"/>
    <s v="Linda Jackson"/>
    <x v="4"/>
    <x v="0"/>
    <n v="501.54"/>
    <n v="11"/>
    <n v="0.05"/>
    <d v="2024-04-19T00:00:00"/>
    <n v="190.59"/>
  </r>
  <r>
    <s v="CUST010"/>
    <s v="David Thomas"/>
    <x v="4"/>
    <x v="1"/>
    <n v="737.31"/>
    <n v="2"/>
    <n v="0.05"/>
    <d v="2024-04-19T00:00:00"/>
    <n v="350.22"/>
  </r>
  <r>
    <s v="CUST014"/>
    <s v="Emma Davis"/>
    <x v="0"/>
    <x v="4"/>
    <n v="1572.82"/>
    <n v="6"/>
    <n v="0.05"/>
    <d v="2024-04-20T00:00:00"/>
    <n v="672.38"/>
  </r>
  <r>
    <s v="CUST014"/>
    <s v="David Thomas"/>
    <x v="4"/>
    <x v="0"/>
    <n v="1343.13"/>
    <n v="14"/>
    <n v="0.15"/>
    <d v="2024-04-22T00:00:00"/>
    <n v="456.66"/>
  </r>
  <r>
    <s v="CUST007"/>
    <s v="Michael Anderson"/>
    <x v="4"/>
    <x v="0"/>
    <n v="1191.58"/>
    <n v="14"/>
    <n v="0.05"/>
    <d v="2024-04-24T00:00:00"/>
    <n v="452.8"/>
  </r>
  <r>
    <s v="CUST023"/>
    <s v="Robert Anderson"/>
    <x v="0"/>
    <x v="3"/>
    <n v="822.28"/>
    <n v="7"/>
    <n v="0.05"/>
    <d v="2024-04-24T00:00:00"/>
    <n v="273.41000000000003"/>
  </r>
  <r>
    <s v="CUST029"/>
    <s v="David Smith"/>
    <x v="3"/>
    <x v="3"/>
    <n v="521.66999999999996"/>
    <n v="15"/>
    <n v="0.15"/>
    <d v="2024-04-27T00:00:00"/>
    <n v="155.19999999999999"/>
  </r>
  <r>
    <s v="CUST005"/>
    <s v="Sarah Anderson"/>
    <x v="2"/>
    <x v="2"/>
    <n v="1502.93"/>
    <n v="14"/>
    <n v="0.2"/>
    <d v="2024-04-28T00:00:00"/>
    <n v="300.58999999999997"/>
  </r>
  <r>
    <s v="CUST008"/>
    <s v="Robert Anderson"/>
    <x v="2"/>
    <x v="0"/>
    <n v="877.58"/>
    <n v="10"/>
    <n v="0.15"/>
    <d v="2024-04-29T00:00:00"/>
    <n v="298.38"/>
  </r>
  <r>
    <s v="CUST001"/>
    <s v="Lisa Thomas"/>
    <x v="0"/>
    <x v="0"/>
    <n v="636.70000000000005"/>
    <n v="4"/>
    <n v="0.2"/>
    <d v="2024-04-29T00:00:00"/>
    <n v="203.74"/>
  </r>
  <r>
    <s v="CUST006"/>
    <s v="Mary Jackson"/>
    <x v="0"/>
    <x v="0"/>
    <n v="1506.14"/>
    <n v="13"/>
    <n v="0.2"/>
    <d v="2024-04-30T00:00:00"/>
    <n v="481.96"/>
  </r>
  <r>
    <s v="CUST026"/>
    <s v="Mary Davis"/>
    <x v="4"/>
    <x v="2"/>
    <n v="645.02"/>
    <n v="4"/>
    <n v="0"/>
    <d v="2024-05-02T00:00:00"/>
    <n v="161.26"/>
  </r>
  <r>
    <s v="CUST007"/>
    <s v="Lisa Davis"/>
    <x v="2"/>
    <x v="1"/>
    <n v="953.3"/>
    <n v="11"/>
    <n v="0"/>
    <d v="2024-05-03T00:00:00"/>
    <n v="476.65"/>
  </r>
  <r>
    <s v="CUST022"/>
    <s v="Robert Anderson"/>
    <x v="3"/>
    <x v="2"/>
    <n v="388.56"/>
    <n v="14"/>
    <n v="0.15"/>
    <d v="2024-05-04T00:00:00"/>
    <n v="82.57"/>
  </r>
  <r>
    <s v="CUST019"/>
    <s v="Mary Davis"/>
    <x v="0"/>
    <x v="0"/>
    <n v="743.17"/>
    <n v="9"/>
    <n v="0"/>
    <d v="2024-05-04T00:00:00"/>
    <n v="297.27"/>
  </r>
  <r>
    <s v="CUST023"/>
    <s v="Mary Davis"/>
    <x v="4"/>
    <x v="2"/>
    <n v="706.37"/>
    <n v="6"/>
    <n v="0"/>
    <d v="2024-05-04T00:00:00"/>
    <n v="176.59"/>
  </r>
  <r>
    <s v="CUST012"/>
    <s v="Mary Davis"/>
    <x v="4"/>
    <x v="4"/>
    <n v="925.31"/>
    <n v="8"/>
    <n v="0.1"/>
    <d v="2024-05-06T00:00:00"/>
    <n v="374.75"/>
  </r>
  <r>
    <s v="CUST010"/>
    <s v="Linda Brown"/>
    <x v="2"/>
    <x v="2"/>
    <n v="1173.1199999999999"/>
    <n v="18"/>
    <n v="0"/>
    <d v="2024-05-06T00:00:00"/>
    <n v="293.27999999999997"/>
  </r>
  <r>
    <s v="CUST030"/>
    <s v="John Brown"/>
    <x v="3"/>
    <x v="3"/>
    <n v="675.54"/>
    <n v="17"/>
    <n v="0"/>
    <d v="2024-05-08T00:00:00"/>
    <n v="236.44"/>
  </r>
  <r>
    <s v="CUST007"/>
    <s v="Robert Anderson"/>
    <x v="4"/>
    <x v="0"/>
    <n v="939.09"/>
    <n v="2"/>
    <n v="0.05"/>
    <d v="2024-05-10T00:00:00"/>
    <n v="356.85"/>
  </r>
  <r>
    <s v="CUST028"/>
    <s v="Linda Taylor"/>
    <x v="1"/>
    <x v="4"/>
    <n v="983.34"/>
    <n v="19"/>
    <n v="0.1"/>
    <d v="2024-05-14T00:00:00"/>
    <n v="398.25"/>
  </r>
  <r>
    <s v="CUST028"/>
    <s v="James Wilson"/>
    <x v="2"/>
    <x v="2"/>
    <n v="801.21"/>
    <n v="3"/>
    <n v="0.2"/>
    <d v="2024-05-14T00:00:00"/>
    <n v="160.24"/>
  </r>
  <r>
    <s v="CUST025"/>
    <s v="David Brown"/>
    <x v="3"/>
    <x v="2"/>
    <n v="1450.71"/>
    <n v="5"/>
    <n v="0.1"/>
    <d v="2024-05-15T00:00:00"/>
    <n v="326.41000000000003"/>
  </r>
  <r>
    <s v="CUST022"/>
    <s v="David Davis"/>
    <x v="4"/>
    <x v="0"/>
    <n v="1023.21"/>
    <n v="18"/>
    <n v="0.05"/>
    <d v="2024-05-16T00:00:00"/>
    <n v="388.82"/>
  </r>
  <r>
    <s v="CUST001"/>
    <s v="Mary Jackson"/>
    <x v="0"/>
    <x v="3"/>
    <n v="853.72"/>
    <n v="5"/>
    <n v="0.15"/>
    <d v="2024-05-16T00:00:00"/>
    <n v="253.98"/>
  </r>
  <r>
    <s v="CUST021"/>
    <s v="Sarah Anderson"/>
    <x v="2"/>
    <x v="2"/>
    <n v="967.89"/>
    <n v="10"/>
    <n v="0.1"/>
    <d v="2024-05-17T00:00:00"/>
    <n v="217.78"/>
  </r>
  <r>
    <s v="CUST015"/>
    <s v="Linda Taylor"/>
    <x v="3"/>
    <x v="4"/>
    <n v="1200.9000000000001"/>
    <n v="14"/>
    <n v="0.05"/>
    <d v="2024-05-17T00:00:00"/>
    <n v="513.38"/>
  </r>
  <r>
    <s v="CUST012"/>
    <s v="Michael Anderson"/>
    <x v="0"/>
    <x v="0"/>
    <n v="472.38"/>
    <n v="12"/>
    <n v="0.2"/>
    <d v="2024-05-17T00:00:00"/>
    <n v="151.16"/>
  </r>
  <r>
    <s v="CUST019"/>
    <s v="David Brown"/>
    <x v="1"/>
    <x v="4"/>
    <n v="840.92"/>
    <n v="9"/>
    <n v="0.05"/>
    <d v="2024-05-17T00:00:00"/>
    <n v="359.49"/>
  </r>
  <r>
    <s v="CUST028"/>
    <s v="Lisa Davis"/>
    <x v="4"/>
    <x v="3"/>
    <n v="1410.06"/>
    <n v="11"/>
    <n v="0.05"/>
    <d v="2024-05-22T00:00:00"/>
    <n v="468.84"/>
  </r>
  <r>
    <s v="CUST008"/>
    <s v="Mary Wilson"/>
    <x v="4"/>
    <x v="3"/>
    <n v="773.09"/>
    <n v="13"/>
    <n v="0.15"/>
    <d v="2024-05-22T00:00:00"/>
    <n v="229.99"/>
  </r>
  <r>
    <s v="CUST016"/>
    <s v="Emma Wilson"/>
    <x v="1"/>
    <x v="0"/>
    <n v="580.42999999999995"/>
    <n v="19"/>
    <n v="0.15"/>
    <d v="2024-05-23T00:00:00"/>
    <n v="197.35"/>
  </r>
  <r>
    <s v="CUST005"/>
    <s v="David Smith"/>
    <x v="2"/>
    <x v="0"/>
    <n v="1151.21"/>
    <n v="15"/>
    <n v="0.1"/>
    <d v="2024-06-02T00:00:00"/>
    <n v="414.44"/>
  </r>
  <r>
    <s v="CUST028"/>
    <s v="James Wilson"/>
    <x v="4"/>
    <x v="4"/>
    <n v="1025.98"/>
    <n v="5"/>
    <n v="0.2"/>
    <d v="2024-06-04T00:00:00"/>
    <n v="369.35"/>
  </r>
  <r>
    <s v="CUST023"/>
    <s v="David Davis"/>
    <x v="1"/>
    <x v="4"/>
    <n v="556.41999999999996"/>
    <n v="11"/>
    <n v="0.15"/>
    <d v="2024-06-04T00:00:00"/>
    <n v="212.83"/>
  </r>
  <r>
    <s v="CUST021"/>
    <s v="James Wilson"/>
    <x v="4"/>
    <x v="0"/>
    <n v="840.85"/>
    <n v="19"/>
    <n v="0.1"/>
    <d v="2024-06-05T00:00:00"/>
    <n v="302.70999999999998"/>
  </r>
  <r>
    <s v="CUST026"/>
    <s v="Emma Wilson"/>
    <x v="3"/>
    <x v="3"/>
    <n v="1227.25"/>
    <n v="12"/>
    <n v="0.15"/>
    <d v="2024-06-05T00:00:00"/>
    <n v="365.11"/>
  </r>
  <r>
    <s v="CUST017"/>
    <s v="Linda Davis"/>
    <x v="4"/>
    <x v="2"/>
    <n v="856.7"/>
    <n v="2"/>
    <n v="0"/>
    <d v="2024-06-06T00:00:00"/>
    <n v="214.18"/>
  </r>
  <r>
    <s v="CUST025"/>
    <s v="David Davis"/>
    <x v="4"/>
    <x v="4"/>
    <n v="1225.42"/>
    <n v="8"/>
    <n v="0.15"/>
    <d v="2024-06-06T00:00:00"/>
    <n v="468.72"/>
  </r>
  <r>
    <s v="CUST011"/>
    <s v="Mary Davis"/>
    <x v="3"/>
    <x v="4"/>
    <n v="1001.57"/>
    <n v="12"/>
    <n v="0"/>
    <d v="2024-06-07T00:00:00"/>
    <n v="450.71"/>
  </r>
  <r>
    <s v="CUST021"/>
    <s v="Michael Anderson"/>
    <x v="1"/>
    <x v="3"/>
    <n v="1186.8499999999999"/>
    <n v="19"/>
    <n v="0.2"/>
    <d v="2024-06-08T00:00:00"/>
    <n v="332.32"/>
  </r>
  <r>
    <s v="CUST008"/>
    <s v="John Brown"/>
    <x v="2"/>
    <x v="2"/>
    <n v="775.45"/>
    <n v="6"/>
    <n v="0.1"/>
    <d v="2024-06-14T00:00:00"/>
    <n v="174.48"/>
  </r>
  <r>
    <s v="CUST007"/>
    <s v="Linda Jackson"/>
    <x v="2"/>
    <x v="2"/>
    <n v="1021.47"/>
    <n v="6"/>
    <n v="0.05"/>
    <d v="2024-06-18T00:00:00"/>
    <n v="242.6"/>
  </r>
  <r>
    <s v="CUST015"/>
    <s v="James Wilson"/>
    <x v="2"/>
    <x v="1"/>
    <n v="1226.6199999999999"/>
    <n v="7"/>
    <n v="0.1"/>
    <d v="2024-06-20T00:00:00"/>
    <n v="551.98"/>
  </r>
  <r>
    <s v="CUST030"/>
    <s v="Sarah Davis"/>
    <x v="2"/>
    <x v="3"/>
    <n v="1086.93"/>
    <n v="2"/>
    <n v="0"/>
    <d v="2024-06-21T00:00:00"/>
    <n v="380.43"/>
  </r>
  <r>
    <s v="CUST002"/>
    <s v="Lisa Davis"/>
    <x v="0"/>
    <x v="0"/>
    <n v="942.9"/>
    <n v="18"/>
    <n v="0.1"/>
    <d v="2024-06-23T00:00:00"/>
    <n v="339.44"/>
  </r>
  <r>
    <s v="CUST009"/>
    <s v="Emma Davis"/>
    <x v="3"/>
    <x v="2"/>
    <n v="818.8"/>
    <n v="15"/>
    <n v="0.15"/>
    <d v="2024-06-25T00:00:00"/>
    <n v="173.99"/>
  </r>
  <r>
    <s v="CUST005"/>
    <s v="Robert Anderson"/>
    <x v="2"/>
    <x v="3"/>
    <n v="919.04"/>
    <n v="10"/>
    <n v="0.2"/>
    <d v="2024-06-25T00:00:00"/>
    <n v="257.33"/>
  </r>
  <r>
    <s v="CUST030"/>
    <s v="Emma Taylor"/>
    <x v="4"/>
    <x v="0"/>
    <n v="973.26"/>
    <n v="11"/>
    <n v="0"/>
    <d v="2024-06-27T00:00:00"/>
    <n v="389.3"/>
  </r>
  <r>
    <s v="CUST029"/>
    <s v="Sarah Davis"/>
    <x v="3"/>
    <x v="2"/>
    <n v="741.61"/>
    <n v="1"/>
    <n v="0.2"/>
    <d v="2024-06-28T00:00:00"/>
    <n v="148.32"/>
  </r>
  <r>
    <s v="CUST003"/>
    <s v="Emma Davis"/>
    <x v="3"/>
    <x v="0"/>
    <n v="1248.82"/>
    <n v="2"/>
    <n v="0.1"/>
    <d v="2024-06-30T00:00:00"/>
    <n v="449.58"/>
  </r>
  <r>
    <s v="CUST012"/>
    <s v="Mary Wilson"/>
    <x v="0"/>
    <x v="1"/>
    <n v="1360.36"/>
    <n v="17"/>
    <n v="0"/>
    <d v="2024-06-30T00:00:00"/>
    <n v="680.18"/>
  </r>
  <r>
    <s v="CUST021"/>
    <s v="Mary Davis"/>
    <x v="1"/>
    <x v="0"/>
    <n v="1383.3"/>
    <n v="8"/>
    <n v="0.1"/>
    <d v="2024-07-05T00:00:00"/>
    <n v="497.99"/>
  </r>
  <r>
    <s v="CUST010"/>
    <s v="David Brown"/>
    <x v="4"/>
    <x v="4"/>
    <n v="488.99"/>
    <n v="9"/>
    <n v="0"/>
    <d v="2024-07-06T00:00:00"/>
    <n v="220.05"/>
  </r>
  <r>
    <s v="CUST026"/>
    <s v="Mary Davis"/>
    <x v="1"/>
    <x v="3"/>
    <n v="933.71"/>
    <n v="17"/>
    <n v="0.1"/>
    <d v="2024-07-08T00:00:00"/>
    <n v="294.12"/>
  </r>
  <r>
    <s v="CUST003"/>
    <s v="James Davis"/>
    <x v="0"/>
    <x v="2"/>
    <n v="1005.53"/>
    <n v="17"/>
    <n v="0.2"/>
    <d v="2024-07-08T00:00:00"/>
    <n v="201.11"/>
  </r>
  <r>
    <s v="CUST029"/>
    <s v="Emma Wilson"/>
    <x v="2"/>
    <x v="2"/>
    <n v="1100.0999999999999"/>
    <n v="5"/>
    <n v="0.05"/>
    <d v="2024-07-09T00:00:00"/>
    <n v="261.27"/>
  </r>
  <r>
    <s v="CUST003"/>
    <s v="James Wilson"/>
    <x v="3"/>
    <x v="3"/>
    <n v="1034.7"/>
    <n v="15"/>
    <n v="0.15"/>
    <d v="2024-07-14T00:00:00"/>
    <n v="307.82"/>
  </r>
  <r>
    <s v="CUST002"/>
    <s v="Mary Davis"/>
    <x v="2"/>
    <x v="0"/>
    <n v="876.44"/>
    <n v="12"/>
    <n v="0.05"/>
    <d v="2024-07-15T00:00:00"/>
    <n v="333.05"/>
  </r>
  <r>
    <s v="CUST020"/>
    <s v="David Brown"/>
    <x v="0"/>
    <x v="3"/>
    <n v="1371.34"/>
    <n v="5"/>
    <n v="0.05"/>
    <d v="2024-07-15T00:00:00"/>
    <n v="455.97"/>
  </r>
  <r>
    <s v="CUST021"/>
    <s v="Mary Jackson"/>
    <x v="3"/>
    <x v="2"/>
    <n v="1020.26"/>
    <n v="11"/>
    <n v="0.05"/>
    <d v="2024-07-21T00:00:00"/>
    <n v="242.31"/>
  </r>
  <r>
    <s v="CUST008"/>
    <s v="James Davis"/>
    <x v="4"/>
    <x v="4"/>
    <n v="804.81"/>
    <n v="1"/>
    <n v="0.05"/>
    <d v="2024-07-29T00:00:00"/>
    <n v="344.06"/>
  </r>
  <r>
    <s v="CUST030"/>
    <s v="David Brown"/>
    <x v="4"/>
    <x v="2"/>
    <n v="608.66"/>
    <n v="1"/>
    <n v="0.05"/>
    <d v="2024-07-30T00:00:00"/>
    <n v="144.56"/>
  </r>
  <r>
    <s v="CUST020"/>
    <s v="Linda Moore"/>
    <x v="2"/>
    <x v="4"/>
    <n v="981.2"/>
    <n v="19"/>
    <n v="0"/>
    <d v="2024-07-31T00:00:00"/>
    <n v="441.54"/>
  </r>
  <r>
    <s v="CUST024"/>
    <s v="David Brown"/>
    <x v="1"/>
    <x v="2"/>
    <n v="539.77"/>
    <n v="10"/>
    <n v="0.15"/>
    <d v="2024-08-05T00:00:00"/>
    <n v="114.7"/>
  </r>
  <r>
    <s v="CUST012"/>
    <s v="David Anderson"/>
    <x v="2"/>
    <x v="0"/>
    <n v="804.45"/>
    <n v="5"/>
    <n v="0.2"/>
    <d v="2024-08-05T00:00:00"/>
    <n v="257.42"/>
  </r>
  <r>
    <s v="CUST024"/>
    <s v="Emma Davis"/>
    <x v="0"/>
    <x v="2"/>
    <n v="1526.6"/>
    <n v="13"/>
    <n v="0.2"/>
    <d v="2024-08-08T00:00:00"/>
    <n v="305.32"/>
  </r>
  <r>
    <s v="CUST012"/>
    <s v="Linda Wilson"/>
    <x v="0"/>
    <x v="2"/>
    <n v="1215.26"/>
    <n v="5"/>
    <n v="0.15"/>
    <d v="2024-08-09T00:00:00"/>
    <n v="258.24"/>
  </r>
  <r>
    <s v="CUST005"/>
    <s v="Linda Taylor"/>
    <x v="4"/>
    <x v="3"/>
    <n v="1261.3399999999999"/>
    <n v="3"/>
    <n v="0"/>
    <d v="2024-08-15T00:00:00"/>
    <n v="441.47"/>
  </r>
  <r>
    <s v="CUST004"/>
    <s v="Lisa Thomas"/>
    <x v="3"/>
    <x v="3"/>
    <n v="518.07000000000005"/>
    <n v="7"/>
    <n v="0.05"/>
    <d v="2024-08-18T00:00:00"/>
    <n v="172.26"/>
  </r>
  <r>
    <s v="CUST026"/>
    <s v="Linda Wilson"/>
    <x v="0"/>
    <x v="4"/>
    <n v="1111.3399999999999"/>
    <n v="1"/>
    <n v="0"/>
    <d v="2024-08-19T00:00:00"/>
    <n v="500.1"/>
  </r>
  <r>
    <s v="CUST030"/>
    <s v="Mary Davis"/>
    <x v="1"/>
    <x v="1"/>
    <n v="1291.47"/>
    <n v="18"/>
    <n v="0.1"/>
    <d v="2024-08-22T00:00:00"/>
    <n v="581.16"/>
  </r>
  <r>
    <s v="CUST007"/>
    <s v="David Brown"/>
    <x v="3"/>
    <x v="0"/>
    <n v="679.71"/>
    <n v="19"/>
    <n v="0"/>
    <d v="2024-08-30T00:00:00"/>
    <n v="271.88"/>
  </r>
  <r>
    <s v="CUST020"/>
    <s v="Linda Jackson"/>
    <x v="1"/>
    <x v="3"/>
    <n v="1143.69"/>
    <n v="17"/>
    <n v="0"/>
    <d v="2024-08-30T00:00:00"/>
    <n v="400.29"/>
  </r>
  <r>
    <s v="CUST028"/>
    <s v="Linda Brown"/>
    <x v="4"/>
    <x v="2"/>
    <n v="790.08"/>
    <n v="7"/>
    <n v="0.1"/>
    <d v="2024-09-01T00:00:00"/>
    <n v="177.77"/>
  </r>
  <r>
    <s v="CUST005"/>
    <s v="Lisa Davis"/>
    <x v="4"/>
    <x v="0"/>
    <n v="1070.68"/>
    <n v="7"/>
    <n v="0.05"/>
    <d v="2024-09-01T00:00:00"/>
    <n v="406.86"/>
  </r>
  <r>
    <s v="CUST015"/>
    <s v="David Thomas"/>
    <x v="0"/>
    <x v="1"/>
    <n v="1168.8900000000001"/>
    <n v="4"/>
    <n v="0.1"/>
    <d v="2024-09-09T00:00:00"/>
    <n v="526"/>
  </r>
  <r>
    <s v="CUST003"/>
    <s v="James Davis"/>
    <x v="2"/>
    <x v="2"/>
    <n v="1335.87"/>
    <n v="17"/>
    <n v="0"/>
    <d v="2024-09-09T00:00:00"/>
    <n v="333.97"/>
  </r>
  <r>
    <s v="CUST023"/>
    <s v="David Brown"/>
    <x v="1"/>
    <x v="3"/>
    <n v="873.7"/>
    <n v="9"/>
    <n v="0"/>
    <d v="2024-09-11T00:00:00"/>
    <n v="305.8"/>
  </r>
  <r>
    <s v="CUST004"/>
    <s v="Sarah Davis"/>
    <x v="0"/>
    <x v="4"/>
    <n v="1443.98"/>
    <n v="19"/>
    <n v="0"/>
    <d v="2024-09-12T00:00:00"/>
    <n v="649.79"/>
  </r>
  <r>
    <s v="CUST023"/>
    <s v="James Wilson"/>
    <x v="1"/>
    <x v="4"/>
    <n v="1154.33"/>
    <n v="11"/>
    <n v="0.15"/>
    <d v="2024-09-14T00:00:00"/>
    <n v="441.53"/>
  </r>
  <r>
    <s v="CUST022"/>
    <s v="Linda Brown"/>
    <x v="2"/>
    <x v="0"/>
    <n v="1264.49"/>
    <n v="16"/>
    <n v="0.05"/>
    <d v="2024-09-14T00:00:00"/>
    <n v="480.51"/>
  </r>
  <r>
    <s v="CUST007"/>
    <s v="Emma Taylor"/>
    <x v="0"/>
    <x v="3"/>
    <n v="1101.55"/>
    <n v="4"/>
    <n v="0.1"/>
    <d v="2024-09-16T00:00:00"/>
    <n v="346.99"/>
  </r>
  <r>
    <s v="CUST013"/>
    <s v="Robert Anderson"/>
    <x v="2"/>
    <x v="3"/>
    <n v="727.73"/>
    <n v="1"/>
    <n v="0.1"/>
    <d v="2024-09-17T00:00:00"/>
    <n v="229.23"/>
  </r>
  <r>
    <s v="CUST027"/>
    <s v="Emma Davis"/>
    <x v="1"/>
    <x v="4"/>
    <n v="875.41"/>
    <n v="13"/>
    <n v="0.15"/>
    <d v="2024-09-17T00:00:00"/>
    <n v="334.84"/>
  </r>
  <r>
    <s v="CUST003"/>
    <s v="James Wilson"/>
    <x v="0"/>
    <x v="2"/>
    <n v="1158.94"/>
    <n v="19"/>
    <n v="0.2"/>
    <d v="2024-09-18T00:00:00"/>
    <n v="231.79"/>
  </r>
  <r>
    <s v="CUST018"/>
    <s v="Mary Jackson"/>
    <x v="2"/>
    <x v="0"/>
    <n v="966.3"/>
    <n v="2"/>
    <n v="0.15"/>
    <d v="2024-09-22T00:00:00"/>
    <n v="328.54"/>
  </r>
  <r>
    <s v="CUST020"/>
    <s v="James Taylor"/>
    <x v="2"/>
    <x v="0"/>
    <n v="917.48"/>
    <n v="6"/>
    <n v="0"/>
    <d v="2024-09-23T00:00:00"/>
    <n v="366.99"/>
  </r>
  <r>
    <s v="CUST029"/>
    <s v="Emma Wilson"/>
    <x v="0"/>
    <x v="3"/>
    <n v="1172.97"/>
    <n v="7"/>
    <n v="0.15"/>
    <d v="2024-09-24T00:00:00"/>
    <n v="348.96"/>
  </r>
  <r>
    <s v="CUST021"/>
    <s v="James Wilson"/>
    <x v="3"/>
    <x v="1"/>
    <n v="1205.82"/>
    <n v="11"/>
    <n v="0.1"/>
    <d v="2024-09-24T00:00:00"/>
    <n v="542.62"/>
  </r>
  <r>
    <s v="CUST017"/>
    <s v="Sarah Davis"/>
    <x v="0"/>
    <x v="4"/>
    <n v="826.93"/>
    <n v="10"/>
    <n v="0.2"/>
    <d v="2024-09-29T00:00:00"/>
    <n v="297.69"/>
  </r>
  <r>
    <s v="CUST003"/>
    <s v="James Wilson"/>
    <x v="4"/>
    <x v="1"/>
    <n v="902.19"/>
    <n v="12"/>
    <n v="0"/>
    <d v="2024-09-29T00:00:00"/>
    <n v="451.1"/>
  </r>
  <r>
    <s v="CUST027"/>
    <s v="Emma Davis"/>
    <x v="3"/>
    <x v="0"/>
    <n v="585.97"/>
    <n v="17"/>
    <n v="0.1"/>
    <d v="2024-09-30T00:00:00"/>
    <n v="210.95"/>
  </r>
  <r>
    <s v="CUST016"/>
    <s v="Michael Anderson"/>
    <x v="3"/>
    <x v="1"/>
    <n v="990.19"/>
    <n v="8"/>
    <n v="0.1"/>
    <d v="2024-09-30T00:00:00"/>
    <n v="445.59"/>
  </r>
  <r>
    <s v="CUST008"/>
    <s v="David Davis"/>
    <x v="4"/>
    <x v="2"/>
    <n v="1014.09"/>
    <n v="13"/>
    <n v="0.2"/>
    <d v="2024-10-02T00:00:00"/>
    <n v="202.82"/>
  </r>
  <r>
    <s v="CUST012"/>
    <s v="Lisa Davis"/>
    <x v="3"/>
    <x v="2"/>
    <n v="925.29"/>
    <n v="17"/>
    <n v="0"/>
    <d v="2024-10-05T00:00:00"/>
    <n v="231.32"/>
  </r>
  <r>
    <s v="CUST025"/>
    <s v="Mary Jackson"/>
    <x v="1"/>
    <x v="3"/>
    <n v="1286.54"/>
    <n v="8"/>
    <n v="0"/>
    <d v="2024-10-10T00:00:00"/>
    <n v="450.29"/>
  </r>
  <r>
    <s v="CUST014"/>
    <s v="Sarah Davis"/>
    <x v="2"/>
    <x v="0"/>
    <n v="961.62"/>
    <n v="8"/>
    <n v="0.2"/>
    <d v="2024-10-12T00:00:00"/>
    <n v="307.72000000000003"/>
  </r>
  <r>
    <s v="CUST008"/>
    <s v="James Wilson"/>
    <x v="1"/>
    <x v="0"/>
    <n v="1081.1400000000001"/>
    <n v="19"/>
    <n v="0.15"/>
    <d v="2024-10-12T00:00:00"/>
    <n v="367.59"/>
  </r>
  <r>
    <s v="CUST015"/>
    <s v="James Wilson"/>
    <x v="0"/>
    <x v="1"/>
    <n v="1923.66"/>
    <n v="9"/>
    <n v="0.2"/>
    <d v="2024-10-15T00:00:00"/>
    <n v="769.46"/>
  </r>
  <r>
    <s v="CUST025"/>
    <s v="Emma Taylor"/>
    <x v="4"/>
    <x v="1"/>
    <n v="728.71"/>
    <n v="14"/>
    <n v="0.1"/>
    <d v="2024-10-16T00:00:00"/>
    <n v="327.92"/>
  </r>
  <r>
    <s v="CUST019"/>
    <s v="Linda Jackson"/>
    <x v="4"/>
    <x v="1"/>
    <n v="1301.8900000000001"/>
    <n v="7"/>
    <n v="0.15"/>
    <d v="2024-10-16T00:00:00"/>
    <n v="553.29999999999995"/>
  </r>
  <r>
    <s v="CUST024"/>
    <s v="Emma Taylor"/>
    <x v="1"/>
    <x v="0"/>
    <n v="980.18"/>
    <n v="16"/>
    <n v="0.1"/>
    <d v="2024-10-17T00:00:00"/>
    <n v="352.86"/>
  </r>
  <r>
    <s v="CUST027"/>
    <s v="James Wilson"/>
    <x v="0"/>
    <x v="1"/>
    <n v="697.57"/>
    <n v="17"/>
    <n v="0.1"/>
    <d v="2024-10-19T00:00:00"/>
    <n v="313.91000000000003"/>
  </r>
  <r>
    <s v="CUST006"/>
    <s v="David Anderson"/>
    <x v="0"/>
    <x v="3"/>
    <n v="1193.6099999999999"/>
    <n v="1"/>
    <n v="0.15"/>
    <d v="2024-10-19T00:00:00"/>
    <n v="355.1"/>
  </r>
  <r>
    <s v="CUST009"/>
    <s v="Emma Davis"/>
    <x v="2"/>
    <x v="2"/>
    <n v="771.02"/>
    <n v="1"/>
    <n v="0"/>
    <d v="2024-10-20T00:00:00"/>
    <n v="192.76"/>
  </r>
  <r>
    <s v="CUST003"/>
    <s v="Linda Moore"/>
    <x v="3"/>
    <x v="1"/>
    <n v="661.09"/>
    <n v="1"/>
    <n v="0.2"/>
    <d v="2024-10-28T00:00:00"/>
    <n v="264.44"/>
  </r>
  <r>
    <s v="CUST012"/>
    <s v="David Brown"/>
    <x v="0"/>
    <x v="2"/>
    <n v="688.83"/>
    <n v="15"/>
    <n v="0"/>
    <d v="2024-10-30T00:00:00"/>
    <n v="172.21"/>
  </r>
  <r>
    <s v="CUST013"/>
    <s v="Linda Wilson"/>
    <x v="4"/>
    <x v="0"/>
    <n v="1249.0999999999999"/>
    <n v="4"/>
    <n v="0.05"/>
    <d v="2024-11-01T00:00:00"/>
    <n v="474.66"/>
  </r>
  <r>
    <s v="CUST008"/>
    <s v="James Wilson"/>
    <x v="1"/>
    <x v="4"/>
    <n v="1014.22"/>
    <n v="14"/>
    <n v="0.05"/>
    <d v="2024-11-03T00:00:00"/>
    <n v="433.58"/>
  </r>
  <r>
    <s v="CUST025"/>
    <s v="Lisa Davis"/>
    <x v="1"/>
    <x v="0"/>
    <n v="1010.58"/>
    <n v="2"/>
    <n v="0.15"/>
    <d v="2024-11-09T00:00:00"/>
    <n v="343.6"/>
  </r>
  <r>
    <s v="CUST026"/>
    <s v="Mary Wilson"/>
    <x v="3"/>
    <x v="3"/>
    <n v="957.29"/>
    <n v="4"/>
    <n v="0.05"/>
    <d v="2024-11-09T00:00:00"/>
    <n v="318.3"/>
  </r>
  <r>
    <s v="CUST001"/>
    <s v="Lisa Thomas"/>
    <x v="3"/>
    <x v="3"/>
    <n v="1077.92"/>
    <n v="3"/>
    <n v="0.05"/>
    <d v="2024-11-12T00:00:00"/>
    <n v="358.41"/>
  </r>
  <r>
    <s v="CUST028"/>
    <s v="Linda Brown"/>
    <x v="2"/>
    <x v="1"/>
    <n v="1163.01"/>
    <n v="5"/>
    <n v="0"/>
    <d v="2024-11-15T00:00:00"/>
    <n v="581.5"/>
  </r>
  <r>
    <s v="CUST025"/>
    <s v="Lisa Thomas"/>
    <x v="1"/>
    <x v="4"/>
    <n v="1014.56"/>
    <n v="10"/>
    <n v="0.1"/>
    <d v="2024-11-16T00:00:00"/>
    <n v="410.9"/>
  </r>
  <r>
    <s v="CUST019"/>
    <s v="James Taylor"/>
    <x v="2"/>
    <x v="2"/>
    <n v="718.04"/>
    <n v="14"/>
    <n v="0"/>
    <d v="2024-11-17T00:00:00"/>
    <n v="179.51"/>
  </r>
  <r>
    <s v="CUST004"/>
    <s v="James Taylor"/>
    <x v="4"/>
    <x v="1"/>
    <n v="1277.8499999999999"/>
    <n v="18"/>
    <n v="0.2"/>
    <d v="2024-11-17T00:00:00"/>
    <n v="511.14"/>
  </r>
  <r>
    <s v="CUST024"/>
    <s v="James Wilson"/>
    <x v="3"/>
    <x v="2"/>
    <n v="706.73"/>
    <n v="1"/>
    <n v="0.15"/>
    <d v="2024-11-17T00:00:00"/>
    <n v="150.18"/>
  </r>
  <r>
    <s v="CUST002"/>
    <s v="Linda Brown"/>
    <x v="1"/>
    <x v="2"/>
    <n v="1410.59"/>
    <n v="15"/>
    <n v="0"/>
    <d v="2024-11-19T00:00:00"/>
    <n v="352.65"/>
  </r>
  <r>
    <s v="CUST009"/>
    <s v="Emma Wilson"/>
    <x v="2"/>
    <x v="3"/>
    <n v="1350.33"/>
    <n v="10"/>
    <n v="0"/>
    <d v="2024-11-19T00:00:00"/>
    <n v="472.62"/>
  </r>
  <r>
    <s v="CUST029"/>
    <s v="Lisa Thomas"/>
    <x v="1"/>
    <x v="2"/>
    <n v="919.18"/>
    <n v="4"/>
    <n v="0.15"/>
    <d v="2024-11-19T00:00:00"/>
    <n v="195.33"/>
  </r>
  <r>
    <s v="CUST027"/>
    <s v="James Wilson"/>
    <x v="0"/>
    <x v="2"/>
    <n v="258.51"/>
    <n v="19"/>
    <n v="0"/>
    <d v="2024-11-20T00:00:00"/>
    <n v="64.63"/>
  </r>
  <r>
    <s v="CUST011"/>
    <s v="Emma Wilson"/>
    <x v="1"/>
    <x v="0"/>
    <n v="1213.48"/>
    <n v="5"/>
    <n v="0.05"/>
    <d v="2024-11-20T00:00:00"/>
    <n v="461.12"/>
  </r>
  <r>
    <s v="CUST021"/>
    <s v="Emma Davis"/>
    <x v="4"/>
    <x v="0"/>
    <n v="1150.28"/>
    <n v="8"/>
    <n v="0.05"/>
    <d v="2024-11-26T00:00:00"/>
    <n v="437.11"/>
  </r>
  <r>
    <s v="CUST014"/>
    <s v="David Anderson"/>
    <x v="2"/>
    <x v="3"/>
    <n v="853.86"/>
    <n v="8"/>
    <n v="0.1"/>
    <d v="2024-11-26T00:00:00"/>
    <n v="268.97000000000003"/>
  </r>
  <r>
    <s v="CUST018"/>
    <s v="Lisa Thomas"/>
    <x v="2"/>
    <x v="2"/>
    <n v="1061.04"/>
    <n v="1"/>
    <n v="0"/>
    <d v="2024-11-28T00:00:00"/>
    <n v="265.26"/>
  </r>
  <r>
    <s v="CUST001"/>
    <s v="Sarah Anderson"/>
    <x v="0"/>
    <x v="2"/>
    <n v="894.55"/>
    <n v="19"/>
    <n v="0.2"/>
    <d v="2024-11-29T00:00:00"/>
    <n v="178.91"/>
  </r>
  <r>
    <s v="CUST007"/>
    <s v="Emma Davis"/>
    <x v="3"/>
    <x v="4"/>
    <n v="833.91"/>
    <n v="3"/>
    <n v="0.05"/>
    <d v="2024-11-30T00:00:00"/>
    <n v="356.5"/>
  </r>
  <r>
    <s v="CUST015"/>
    <s v="David Anderson"/>
    <x v="0"/>
    <x v="3"/>
    <n v="820.19"/>
    <n v="4"/>
    <n v="0.2"/>
    <d v="2024-12-04T00:00:00"/>
    <n v="229.65"/>
  </r>
  <r>
    <s v="CUST015"/>
    <s v="Emma Davis"/>
    <x v="4"/>
    <x v="2"/>
    <n v="511.74"/>
    <n v="8"/>
    <n v="0.05"/>
    <d v="2024-12-05T00:00:00"/>
    <n v="121.54"/>
  </r>
  <r>
    <s v="CUST002"/>
    <s v="Emma Wilson"/>
    <x v="2"/>
    <x v="3"/>
    <n v="806.03"/>
    <n v="19"/>
    <n v="0.05"/>
    <d v="2024-12-12T00:00:00"/>
    <n v="268"/>
  </r>
  <r>
    <s v="CUST001"/>
    <s v="Michael Anderson"/>
    <x v="4"/>
    <x v="3"/>
    <n v="1432.47"/>
    <n v="16"/>
    <n v="0.15"/>
    <d v="2024-12-14T00:00:00"/>
    <n v="426.16"/>
  </r>
  <r>
    <s v="CUST027"/>
    <s v="Linda Wilson"/>
    <x v="4"/>
    <x v="2"/>
    <n v="1488.58"/>
    <n v="10"/>
    <n v="0.15"/>
    <d v="2024-12-14T00:00:00"/>
    <n v="316.32"/>
  </r>
  <r>
    <s v="CUST026"/>
    <s v="Emma Taylor"/>
    <x v="1"/>
    <x v="0"/>
    <n v="1231.26"/>
    <n v="9"/>
    <n v="0"/>
    <d v="2024-12-20T00:00:00"/>
    <n v="492.5"/>
  </r>
  <r>
    <s v="CUST026"/>
    <s v="Sarah Anderson"/>
    <x v="0"/>
    <x v="2"/>
    <n v="1161.67"/>
    <n v="19"/>
    <n v="0.2"/>
    <d v="2024-12-21T00:00:00"/>
    <n v="232.33"/>
  </r>
  <r>
    <s v="CUST022"/>
    <s v="Lisa Thomas"/>
    <x v="4"/>
    <x v="4"/>
    <n v="388.23"/>
    <n v="16"/>
    <n v="0.05"/>
    <d v="2024-12-24T00:00:00"/>
    <n v="165.97"/>
  </r>
  <r>
    <s v="CUST004"/>
    <s v="Mary Davis"/>
    <x v="3"/>
    <x v="1"/>
    <n v="1589.42"/>
    <n v="6"/>
    <n v="0.15"/>
    <d v="2024-12-25T00:00:00"/>
    <n v="675.5"/>
  </r>
  <r>
    <s v="CUST001"/>
    <s v="David Anderson"/>
    <x v="3"/>
    <x v="1"/>
    <n v="336.66"/>
    <n v="13"/>
    <n v="0.2"/>
    <d v="2024-12-25T00:00:00"/>
    <n v="134.66"/>
  </r>
  <r>
    <s v="CUST022"/>
    <s v="James Wilson"/>
    <x v="0"/>
    <x v="0"/>
    <n v="1353.79"/>
    <n v="14"/>
    <n v="0.1"/>
    <d v="2024-12-30T00:00:00"/>
    <n v="487.36"/>
  </r>
  <r>
    <s v="CUST011"/>
    <s v="Linda Moore"/>
    <x v="4"/>
    <x v="1"/>
    <n v="662.61"/>
    <n v="11"/>
    <n v="0.05"/>
    <d v="2025-01-01T00:00:00"/>
    <n v="314.74"/>
  </r>
  <r>
    <s v="CUST028"/>
    <s v="Lisa Davis"/>
    <x v="3"/>
    <x v="4"/>
    <n v="309.42"/>
    <n v="1"/>
    <n v="0.2"/>
    <d v="2025-01-01T00:00:00"/>
    <n v="111.39"/>
  </r>
  <r>
    <s v="CUST011"/>
    <s v="Linda Wilson"/>
    <x v="3"/>
    <x v="0"/>
    <n v="884.63"/>
    <n v="18"/>
    <n v="0.1"/>
    <d v="2025-01-02T00:00:00"/>
    <n v="318.47000000000003"/>
  </r>
  <r>
    <s v="CUST028"/>
    <s v="James Wilson"/>
    <x v="4"/>
    <x v="4"/>
    <n v="745.05"/>
    <n v="10"/>
    <n v="0.1"/>
    <d v="2025-01-03T00:00:00"/>
    <n v="301.75"/>
  </r>
  <r>
    <s v="CUST016"/>
    <s v="James Taylor"/>
    <x v="2"/>
    <x v="1"/>
    <n v="870.23"/>
    <n v="5"/>
    <n v="0.05"/>
    <d v="2025-01-03T00:00:00"/>
    <n v="413.36"/>
  </r>
  <r>
    <s v="CUST010"/>
    <s v="Linda Wilson"/>
    <x v="0"/>
    <x v="3"/>
    <n v="862.19"/>
    <n v="18"/>
    <n v="0.05"/>
    <d v="2025-01-06T00:00:00"/>
    <n v="286.68"/>
  </r>
  <r>
    <s v="CUST013"/>
    <s v="Mary Wilson"/>
    <x v="3"/>
    <x v="1"/>
    <n v="1171.18"/>
    <n v="19"/>
    <n v="0.05"/>
    <d v="2025-01-10T00:00:00"/>
    <n v="556.30999999999995"/>
  </r>
  <r>
    <s v="CUST015"/>
    <s v="Robert Anderson"/>
    <x v="2"/>
    <x v="3"/>
    <n v="1054.56"/>
    <n v="11"/>
    <n v="0.1"/>
    <d v="2025-01-12T00:00:00"/>
    <n v="332.19"/>
  </r>
  <r>
    <s v="CUST015"/>
    <s v="James Wilson"/>
    <x v="3"/>
    <x v="2"/>
    <n v="1681.21"/>
    <n v="5"/>
    <n v="0.2"/>
    <d v="2025-01-13T00:00:00"/>
    <n v="336.24"/>
  </r>
  <r>
    <s v="CUST015"/>
    <s v="David Thomas"/>
    <x v="0"/>
    <x v="1"/>
    <n v="379.77"/>
    <n v="9"/>
    <n v="0.05"/>
    <d v="2025-01-16T00:00:00"/>
    <n v="180.39"/>
  </r>
  <r>
    <s v="CUST008"/>
    <s v="Lisa Thomas"/>
    <x v="4"/>
    <x v="1"/>
    <n v="1076.33"/>
    <n v="2"/>
    <n v="0.1"/>
    <d v="2025-01-17T00:00:00"/>
    <n v="484.35"/>
  </r>
  <r>
    <s v="CUST008"/>
    <s v="Mary Davis"/>
    <x v="4"/>
    <x v="4"/>
    <n v="1250.71"/>
    <n v="7"/>
    <n v="0"/>
    <d v="2025-01-17T00:00:00"/>
    <n v="562.82000000000005"/>
  </r>
  <r>
    <s v="CUST023"/>
    <s v="James Taylor"/>
    <x v="2"/>
    <x v="1"/>
    <n v="1118.3399999999999"/>
    <n v="6"/>
    <n v="0.2"/>
    <d v="2025-01-17T00:00:00"/>
    <n v="447.34"/>
  </r>
  <r>
    <s v="CUST024"/>
    <s v="Linda Taylor"/>
    <x v="3"/>
    <x v="1"/>
    <n v="1622.62"/>
    <n v="12"/>
    <n v="0.2"/>
    <d v="2025-01-20T00:00:00"/>
    <n v="649.04999999999995"/>
  </r>
  <r>
    <s v="CUST018"/>
    <s v="Lisa Davis"/>
    <x v="3"/>
    <x v="0"/>
    <n v="640.64"/>
    <n v="11"/>
    <n v="0.2"/>
    <d v="2025-01-21T00:00:00"/>
    <n v="205"/>
  </r>
  <r>
    <s v="CUST030"/>
    <s v="Sarah Anderson"/>
    <x v="0"/>
    <x v="1"/>
    <n v="585.16"/>
    <n v="17"/>
    <n v="0.1"/>
    <d v="2025-01-27T00:00:00"/>
    <n v="263.32"/>
  </r>
  <r>
    <s v="CUST030"/>
    <s v="Mary Davis"/>
    <x v="1"/>
    <x v="1"/>
    <n v="1109.98"/>
    <n v="5"/>
    <n v="0.2"/>
    <d v="2025-02-02T00:00:00"/>
    <n v="443.99"/>
  </r>
  <r>
    <s v="CUST015"/>
    <s v="Lisa Thomas"/>
    <x v="1"/>
    <x v="0"/>
    <n v="1098.08"/>
    <n v="9"/>
    <n v="0.1"/>
    <d v="2025-02-04T00:00:00"/>
    <n v="395.31"/>
  </r>
  <r>
    <s v="CUST002"/>
    <s v="Lisa Davis"/>
    <x v="0"/>
    <x v="4"/>
    <n v="827.25"/>
    <n v="7"/>
    <n v="0.1"/>
    <d v="2025-02-05T00:00:00"/>
    <n v="335.04"/>
  </r>
  <r>
    <s v="CUST024"/>
    <s v="Linda Wilson"/>
    <x v="4"/>
    <x v="1"/>
    <n v="741.88"/>
    <n v="16"/>
    <n v="0.1"/>
    <d v="2025-02-07T00:00:00"/>
    <n v="333.85"/>
  </r>
  <r>
    <s v="CUST004"/>
    <s v="James Davis"/>
    <x v="1"/>
    <x v="4"/>
    <n v="1311.26"/>
    <n v="6"/>
    <n v="0.1"/>
    <d v="2025-02-10T00:00:00"/>
    <n v="531.05999999999995"/>
  </r>
  <r>
    <s v="CUST004"/>
    <s v="Mary Davis"/>
    <x v="2"/>
    <x v="4"/>
    <n v="573.32000000000005"/>
    <n v="19"/>
    <n v="0.1"/>
    <d v="2025-02-15T00:00:00"/>
    <n v="232.19"/>
  </r>
  <r>
    <s v="CUST028"/>
    <s v="James Wilson"/>
    <x v="0"/>
    <x v="2"/>
    <n v="1115.22"/>
    <n v="14"/>
    <n v="0.2"/>
    <d v="2025-02-17T00:00:00"/>
    <n v="223.04"/>
  </r>
  <r>
    <s v="CUST012"/>
    <s v="Lisa Thomas"/>
    <x v="3"/>
    <x v="1"/>
    <n v="845.84"/>
    <n v="4"/>
    <n v="0"/>
    <d v="2025-02-19T00:00:00"/>
    <n v="422.92"/>
  </r>
  <r>
    <s v="CUST026"/>
    <s v="David Brown"/>
    <x v="0"/>
    <x v="2"/>
    <n v="1029.8"/>
    <n v="3"/>
    <n v="0"/>
    <d v="2025-02-20T00:00:00"/>
    <n v="257.45"/>
  </r>
  <r>
    <s v="CUST009"/>
    <s v="Mary Davis"/>
    <x v="3"/>
    <x v="0"/>
    <n v="1189.83"/>
    <n v="2"/>
    <n v="0.2"/>
    <d v="2025-02-21T00:00:00"/>
    <n v="380.75"/>
  </r>
  <r>
    <s v="CUST003"/>
    <s v="Sarah Anderson"/>
    <x v="2"/>
    <x v="0"/>
    <n v="704.28"/>
    <n v="15"/>
    <n v="0.2"/>
    <d v="2025-02-24T00:00:00"/>
    <n v="225.37"/>
  </r>
  <r>
    <s v="CUST002"/>
    <s v="Mary Jackson"/>
    <x v="4"/>
    <x v="4"/>
    <n v="1618.22"/>
    <n v="12"/>
    <n v="0.2"/>
    <d v="2025-02-24T00:00:00"/>
    <n v="582.55999999999995"/>
  </r>
  <r>
    <s v="CUST013"/>
    <s v="Linda Taylor"/>
    <x v="4"/>
    <x v="0"/>
    <n v="1014.43"/>
    <n v="2"/>
    <n v="0.15"/>
    <d v="2025-02-25T00:00:00"/>
    <n v="344.91"/>
  </r>
  <r>
    <s v="CUST018"/>
    <s v="Mary Davis"/>
    <x v="4"/>
    <x v="1"/>
    <n v="826.97"/>
    <n v="18"/>
    <n v="0.2"/>
    <d v="2025-02-27T00:00:00"/>
    <n v="330.79"/>
  </r>
  <r>
    <s v="CUST017"/>
    <s v="Mary Davis"/>
    <x v="4"/>
    <x v="1"/>
    <n v="1022.23"/>
    <n v="8"/>
    <n v="0.1"/>
    <d v="2025-03-01T00:00:00"/>
    <n v="460"/>
  </r>
  <r>
    <s v="CUST004"/>
    <s v="Linda Wilson"/>
    <x v="1"/>
    <x v="0"/>
    <n v="1099.69"/>
    <n v="6"/>
    <n v="0"/>
    <d v="2025-03-02T00:00:00"/>
    <n v="439.88"/>
  </r>
  <r>
    <s v="CUST028"/>
    <s v="Sarah Davis"/>
    <x v="3"/>
    <x v="0"/>
    <n v="710.52"/>
    <n v="8"/>
    <n v="0.1"/>
    <d v="2025-03-05T00:00:00"/>
    <n v="255.79"/>
  </r>
  <r>
    <s v="CUST028"/>
    <s v="Mary Wilson"/>
    <x v="3"/>
    <x v="0"/>
    <n v="499.18"/>
    <n v="15"/>
    <n v="0.2"/>
    <d v="2025-03-08T00:00:00"/>
    <n v="159.74"/>
  </r>
  <r>
    <s v="CUST014"/>
    <s v="Emma Davis"/>
    <x v="2"/>
    <x v="0"/>
    <n v="1064.19"/>
    <n v="18"/>
    <n v="0.05"/>
    <d v="2025-03-09T00:00:00"/>
    <n v="404.39"/>
  </r>
  <r>
    <s v="CUST003"/>
    <s v="Emma Davis"/>
    <x v="1"/>
    <x v="4"/>
    <n v="438.76"/>
    <n v="18"/>
    <n v="0.05"/>
    <d v="2025-03-10T00:00:00"/>
    <n v="187.57"/>
  </r>
  <r>
    <s v="CUST029"/>
    <s v="David Brown"/>
    <x v="0"/>
    <x v="1"/>
    <n v="864.98"/>
    <n v="2"/>
    <n v="0.05"/>
    <d v="2025-03-11T00:00:00"/>
    <n v="410.87"/>
  </r>
  <r>
    <s v="CUST021"/>
    <s v="David Brown"/>
    <x v="0"/>
    <x v="3"/>
    <n v="984.93"/>
    <n v="14"/>
    <n v="0.2"/>
    <d v="2025-03-17T00:00:00"/>
    <n v="275.77999999999997"/>
  </r>
  <r>
    <s v="CUST007"/>
    <s v="David Brown"/>
    <x v="0"/>
    <x v="1"/>
    <n v="1493.49"/>
    <n v="18"/>
    <n v="0"/>
    <d v="2025-03-18T00:00:00"/>
    <n v="746.74"/>
  </r>
  <r>
    <s v="CUST009"/>
    <s v="Linda Taylor"/>
    <x v="2"/>
    <x v="1"/>
    <n v="689.43"/>
    <n v="9"/>
    <n v="0.1"/>
    <d v="2025-03-20T00:00:00"/>
    <n v="310.24"/>
  </r>
  <r>
    <s v="CUST023"/>
    <s v="Mary Wilson"/>
    <x v="2"/>
    <x v="1"/>
    <n v="682.24"/>
    <n v="1"/>
    <n v="0"/>
    <d v="2025-03-22T00:00:00"/>
    <n v="341.12"/>
  </r>
  <r>
    <s v="CUST029"/>
    <s v="Michael Anderson"/>
    <x v="3"/>
    <x v="2"/>
    <n v="458.54"/>
    <n v="15"/>
    <n v="0.2"/>
    <d v="2025-03-25T00:00:00"/>
    <n v="91.71"/>
  </r>
  <r>
    <s v="CUST009"/>
    <s v="Michael Anderson"/>
    <x v="2"/>
    <x v="3"/>
    <n v="1184.25"/>
    <n v="11"/>
    <n v="0.2"/>
    <d v="2025-03-26T00:00:00"/>
    <n v="331.59"/>
  </r>
  <r>
    <s v="CUST007"/>
    <s v="James Davis"/>
    <x v="2"/>
    <x v="1"/>
    <n v="762.14"/>
    <n v="9"/>
    <n v="0"/>
    <d v="2025-03-27T00:00:00"/>
    <n v="381.07"/>
  </r>
  <r>
    <s v="CUST030"/>
    <s v="Linda Taylor"/>
    <x v="3"/>
    <x v="0"/>
    <n v="750.71"/>
    <n v="10"/>
    <n v="0.15"/>
    <d v="2025-03-27T00:00:00"/>
    <n v="255.24"/>
  </r>
  <r>
    <s v="CUST018"/>
    <s v="David Anderson"/>
    <x v="4"/>
    <x v="1"/>
    <n v="1456.94"/>
    <n v="14"/>
    <n v="0.05"/>
    <d v="2025-03-29T00:00:00"/>
    <n v="692.05"/>
  </r>
  <r>
    <s v="CUST008"/>
    <s v="Emma Wilson"/>
    <x v="1"/>
    <x v="3"/>
    <n v="1093.3800000000001"/>
    <n v="17"/>
    <n v="0.1"/>
    <d v="2025-03-29T00:00:00"/>
    <n v="344.41"/>
  </r>
  <r>
    <s v="CUST014"/>
    <s v="Sarah Anderson"/>
    <x v="0"/>
    <x v="1"/>
    <n v="934.27"/>
    <n v="8"/>
    <n v="0.15"/>
    <d v="2025-03-30T00:00:00"/>
    <n v="397.06"/>
  </r>
  <r>
    <s v="CUST024"/>
    <s v="David Thomas"/>
    <x v="4"/>
    <x v="1"/>
    <n v="1465.35"/>
    <n v="8"/>
    <n v="0.2"/>
    <d v="2025-03-30T00:00:00"/>
    <n v="586.14"/>
  </r>
  <r>
    <s v="CUST028"/>
    <s v="Robert Anderson"/>
    <x v="2"/>
    <x v="4"/>
    <n v="740.8"/>
    <n v="3"/>
    <n v="0"/>
    <d v="2025-04-02T00:00:00"/>
    <n v="333.36"/>
  </r>
  <r>
    <s v="CUST015"/>
    <s v="Sarah Anderson"/>
    <x v="0"/>
    <x v="4"/>
    <n v="545.44000000000005"/>
    <n v="17"/>
    <n v="0"/>
    <d v="2025-04-05T00:00:00"/>
    <n v="245.45"/>
  </r>
  <r>
    <s v="CUST010"/>
    <s v="David Thomas"/>
    <x v="1"/>
    <x v="0"/>
    <n v="997.61"/>
    <n v="8"/>
    <n v="0.05"/>
    <d v="2025-04-05T00:00:00"/>
    <n v="379.09"/>
  </r>
  <r>
    <s v="CUST016"/>
    <s v="David Thomas"/>
    <x v="2"/>
    <x v="1"/>
    <n v="928.32"/>
    <n v="2"/>
    <n v="0.05"/>
    <d v="2025-04-07T00:00:00"/>
    <n v="440.9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x v="0"/>
    <x v="0"/>
    <x v="0"/>
    <x v="0"/>
    <n v="4"/>
    <n v="0.2"/>
    <x v="0"/>
    <n v="331.55"/>
  </r>
  <r>
    <s v="CUST012"/>
    <x v="1"/>
    <x v="0"/>
    <x v="1"/>
    <x v="1"/>
    <n v="3"/>
    <n v="0.2"/>
    <x v="1"/>
    <n v="440.51"/>
  </r>
  <r>
    <s v="CUST017"/>
    <x v="2"/>
    <x v="1"/>
    <x v="0"/>
    <x v="2"/>
    <n v="17"/>
    <n v="0"/>
    <x v="2"/>
    <n v="285.33999999999997"/>
  </r>
  <r>
    <s v="CUST005"/>
    <x v="1"/>
    <x v="2"/>
    <x v="2"/>
    <x v="3"/>
    <n v="4"/>
    <n v="0.15"/>
    <x v="2"/>
    <n v="161.69999999999999"/>
  </r>
  <r>
    <s v="CUST030"/>
    <x v="3"/>
    <x v="3"/>
    <x v="0"/>
    <x v="4"/>
    <n v="12"/>
    <n v="0.2"/>
    <x v="3"/>
    <n v="271.04000000000002"/>
  </r>
  <r>
    <s v="CUST007"/>
    <x v="4"/>
    <x v="3"/>
    <x v="3"/>
    <x v="5"/>
    <n v="8"/>
    <n v="0.1"/>
    <x v="4"/>
    <n v="304.18"/>
  </r>
  <r>
    <s v="CUST001"/>
    <x v="5"/>
    <x v="0"/>
    <x v="2"/>
    <x v="6"/>
    <n v="12"/>
    <n v="0.05"/>
    <x v="4"/>
    <n v="312.91000000000003"/>
  </r>
  <r>
    <s v="CUST026"/>
    <x v="6"/>
    <x v="1"/>
    <x v="3"/>
    <x v="7"/>
    <n v="6"/>
    <n v="0.2"/>
    <x v="5"/>
    <n v="300.85000000000002"/>
  </r>
  <r>
    <s v="CUST009"/>
    <x v="7"/>
    <x v="4"/>
    <x v="0"/>
    <x v="8"/>
    <n v="11"/>
    <n v="0.05"/>
    <x v="5"/>
    <n v="190.59"/>
  </r>
  <r>
    <s v="CUST010"/>
    <x v="8"/>
    <x v="4"/>
    <x v="1"/>
    <x v="9"/>
    <n v="2"/>
    <n v="0.05"/>
    <x v="5"/>
    <n v="350.22"/>
  </r>
  <r>
    <s v="CUST014"/>
    <x v="9"/>
    <x v="0"/>
    <x v="4"/>
    <x v="10"/>
    <n v="6"/>
    <n v="0.05"/>
    <x v="6"/>
    <n v="672.38"/>
  </r>
  <r>
    <s v="CUST014"/>
    <x v="8"/>
    <x v="4"/>
    <x v="0"/>
    <x v="11"/>
    <n v="14"/>
    <n v="0.15"/>
    <x v="7"/>
    <n v="456.66"/>
  </r>
  <r>
    <s v="CUST007"/>
    <x v="4"/>
    <x v="4"/>
    <x v="0"/>
    <x v="12"/>
    <n v="14"/>
    <n v="0.05"/>
    <x v="8"/>
    <n v="452.8"/>
  </r>
  <r>
    <s v="CUST023"/>
    <x v="1"/>
    <x v="0"/>
    <x v="3"/>
    <x v="13"/>
    <n v="7"/>
    <n v="0.05"/>
    <x v="8"/>
    <n v="273.41000000000003"/>
  </r>
  <r>
    <s v="CUST029"/>
    <x v="10"/>
    <x v="3"/>
    <x v="3"/>
    <x v="14"/>
    <n v="15"/>
    <n v="0.15"/>
    <x v="9"/>
    <n v="155.19999999999999"/>
  </r>
  <r>
    <s v="CUST005"/>
    <x v="11"/>
    <x v="2"/>
    <x v="2"/>
    <x v="15"/>
    <n v="14"/>
    <n v="0.2"/>
    <x v="10"/>
    <n v="300.58999999999997"/>
  </r>
  <r>
    <s v="CUST008"/>
    <x v="1"/>
    <x v="2"/>
    <x v="0"/>
    <x v="16"/>
    <n v="10"/>
    <n v="0.15"/>
    <x v="11"/>
    <n v="298.38"/>
  </r>
  <r>
    <s v="CUST001"/>
    <x v="12"/>
    <x v="0"/>
    <x v="0"/>
    <x v="17"/>
    <n v="4"/>
    <n v="0.2"/>
    <x v="11"/>
    <n v="203.74"/>
  </r>
  <r>
    <s v="CUST006"/>
    <x v="13"/>
    <x v="0"/>
    <x v="0"/>
    <x v="18"/>
    <n v="13"/>
    <n v="0.2"/>
    <x v="12"/>
    <n v="481.96"/>
  </r>
  <r>
    <s v="CUST026"/>
    <x v="6"/>
    <x v="4"/>
    <x v="2"/>
    <x v="19"/>
    <n v="4"/>
    <n v="0"/>
    <x v="13"/>
    <n v="161.26"/>
  </r>
  <r>
    <s v="CUST007"/>
    <x v="14"/>
    <x v="2"/>
    <x v="1"/>
    <x v="20"/>
    <n v="11"/>
    <n v="0"/>
    <x v="14"/>
    <n v="476.65"/>
  </r>
  <r>
    <s v="CUST022"/>
    <x v="1"/>
    <x v="3"/>
    <x v="2"/>
    <x v="21"/>
    <n v="14"/>
    <n v="0.15"/>
    <x v="15"/>
    <n v="82.57"/>
  </r>
  <r>
    <s v="CUST019"/>
    <x v="6"/>
    <x v="0"/>
    <x v="0"/>
    <x v="22"/>
    <n v="9"/>
    <n v="0"/>
    <x v="15"/>
    <n v="297.27"/>
  </r>
  <r>
    <s v="CUST023"/>
    <x v="6"/>
    <x v="4"/>
    <x v="2"/>
    <x v="23"/>
    <n v="6"/>
    <n v="0"/>
    <x v="15"/>
    <n v="176.59"/>
  </r>
  <r>
    <s v="CUST012"/>
    <x v="6"/>
    <x v="4"/>
    <x v="4"/>
    <x v="24"/>
    <n v="8"/>
    <n v="0.1"/>
    <x v="16"/>
    <n v="374.75"/>
  </r>
  <r>
    <s v="CUST010"/>
    <x v="15"/>
    <x v="2"/>
    <x v="2"/>
    <x v="25"/>
    <n v="18"/>
    <n v="0"/>
    <x v="16"/>
    <n v="293.27999999999997"/>
  </r>
  <r>
    <s v="CUST030"/>
    <x v="16"/>
    <x v="3"/>
    <x v="3"/>
    <x v="26"/>
    <n v="17"/>
    <n v="0"/>
    <x v="17"/>
    <n v="236.44"/>
  </r>
  <r>
    <s v="CUST007"/>
    <x v="1"/>
    <x v="4"/>
    <x v="0"/>
    <x v="27"/>
    <n v="2"/>
    <n v="0.05"/>
    <x v="18"/>
    <n v="356.85"/>
  </r>
  <r>
    <s v="CUST028"/>
    <x v="17"/>
    <x v="1"/>
    <x v="4"/>
    <x v="28"/>
    <n v="19"/>
    <n v="0.1"/>
    <x v="19"/>
    <n v="398.25"/>
  </r>
  <r>
    <s v="CUST028"/>
    <x v="3"/>
    <x v="2"/>
    <x v="2"/>
    <x v="29"/>
    <n v="3"/>
    <n v="0.2"/>
    <x v="19"/>
    <n v="160.24"/>
  </r>
  <r>
    <s v="CUST025"/>
    <x v="18"/>
    <x v="3"/>
    <x v="2"/>
    <x v="30"/>
    <n v="5"/>
    <n v="0.1"/>
    <x v="20"/>
    <n v="326.41000000000003"/>
  </r>
  <r>
    <s v="CUST022"/>
    <x v="19"/>
    <x v="4"/>
    <x v="0"/>
    <x v="31"/>
    <n v="18"/>
    <n v="0.05"/>
    <x v="21"/>
    <n v="388.82"/>
  </r>
  <r>
    <s v="CUST001"/>
    <x v="13"/>
    <x v="0"/>
    <x v="3"/>
    <x v="32"/>
    <n v="5"/>
    <n v="0.15"/>
    <x v="21"/>
    <n v="253.98"/>
  </r>
  <r>
    <s v="CUST021"/>
    <x v="11"/>
    <x v="2"/>
    <x v="2"/>
    <x v="33"/>
    <n v="10"/>
    <n v="0.1"/>
    <x v="22"/>
    <n v="217.78"/>
  </r>
  <r>
    <s v="CUST015"/>
    <x v="17"/>
    <x v="3"/>
    <x v="4"/>
    <x v="34"/>
    <n v="14"/>
    <n v="0.05"/>
    <x v="22"/>
    <n v="513.38"/>
  </r>
  <r>
    <s v="CUST012"/>
    <x v="4"/>
    <x v="0"/>
    <x v="0"/>
    <x v="35"/>
    <n v="12"/>
    <n v="0.2"/>
    <x v="22"/>
    <n v="151.16"/>
  </r>
  <r>
    <s v="CUST019"/>
    <x v="18"/>
    <x v="1"/>
    <x v="4"/>
    <x v="36"/>
    <n v="9"/>
    <n v="0.05"/>
    <x v="22"/>
    <n v="359.49"/>
  </r>
  <r>
    <s v="CUST028"/>
    <x v="14"/>
    <x v="4"/>
    <x v="3"/>
    <x v="37"/>
    <n v="11"/>
    <n v="0.05"/>
    <x v="23"/>
    <n v="468.84"/>
  </r>
  <r>
    <s v="CUST008"/>
    <x v="20"/>
    <x v="4"/>
    <x v="3"/>
    <x v="38"/>
    <n v="13"/>
    <n v="0.15"/>
    <x v="23"/>
    <n v="229.99"/>
  </r>
  <r>
    <s v="CUST016"/>
    <x v="21"/>
    <x v="1"/>
    <x v="0"/>
    <x v="39"/>
    <n v="19"/>
    <n v="0.15"/>
    <x v="24"/>
    <n v="197.35"/>
  </r>
  <r>
    <s v="CUST005"/>
    <x v="10"/>
    <x v="2"/>
    <x v="0"/>
    <x v="40"/>
    <n v="15"/>
    <n v="0.1"/>
    <x v="25"/>
    <n v="414.44"/>
  </r>
  <r>
    <s v="CUST028"/>
    <x v="3"/>
    <x v="4"/>
    <x v="4"/>
    <x v="41"/>
    <n v="5"/>
    <n v="0.2"/>
    <x v="26"/>
    <n v="369.35"/>
  </r>
  <r>
    <s v="CUST023"/>
    <x v="19"/>
    <x v="1"/>
    <x v="4"/>
    <x v="42"/>
    <n v="11"/>
    <n v="0.15"/>
    <x v="26"/>
    <n v="212.83"/>
  </r>
  <r>
    <s v="CUST021"/>
    <x v="3"/>
    <x v="4"/>
    <x v="0"/>
    <x v="43"/>
    <n v="19"/>
    <n v="0.1"/>
    <x v="27"/>
    <n v="302.70999999999998"/>
  </r>
  <r>
    <s v="CUST026"/>
    <x v="21"/>
    <x v="3"/>
    <x v="3"/>
    <x v="44"/>
    <n v="12"/>
    <n v="0.15"/>
    <x v="27"/>
    <n v="365.11"/>
  </r>
  <r>
    <s v="CUST017"/>
    <x v="22"/>
    <x v="4"/>
    <x v="2"/>
    <x v="45"/>
    <n v="2"/>
    <n v="0"/>
    <x v="28"/>
    <n v="214.18"/>
  </r>
  <r>
    <s v="CUST025"/>
    <x v="19"/>
    <x v="4"/>
    <x v="4"/>
    <x v="46"/>
    <n v="8"/>
    <n v="0.15"/>
    <x v="28"/>
    <n v="468.72"/>
  </r>
  <r>
    <s v="CUST011"/>
    <x v="6"/>
    <x v="3"/>
    <x v="4"/>
    <x v="47"/>
    <n v="12"/>
    <n v="0"/>
    <x v="29"/>
    <n v="450.71"/>
  </r>
  <r>
    <s v="CUST021"/>
    <x v="4"/>
    <x v="1"/>
    <x v="3"/>
    <x v="48"/>
    <n v="19"/>
    <n v="0.2"/>
    <x v="30"/>
    <n v="332.32"/>
  </r>
  <r>
    <s v="CUST008"/>
    <x v="16"/>
    <x v="2"/>
    <x v="2"/>
    <x v="49"/>
    <n v="6"/>
    <n v="0.1"/>
    <x v="31"/>
    <n v="174.48"/>
  </r>
  <r>
    <s v="CUST007"/>
    <x v="7"/>
    <x v="2"/>
    <x v="2"/>
    <x v="50"/>
    <n v="6"/>
    <n v="0.05"/>
    <x v="32"/>
    <n v="242.6"/>
  </r>
  <r>
    <s v="CUST015"/>
    <x v="3"/>
    <x v="2"/>
    <x v="1"/>
    <x v="51"/>
    <n v="7"/>
    <n v="0.1"/>
    <x v="33"/>
    <n v="551.98"/>
  </r>
  <r>
    <s v="CUST030"/>
    <x v="23"/>
    <x v="2"/>
    <x v="3"/>
    <x v="52"/>
    <n v="2"/>
    <n v="0"/>
    <x v="34"/>
    <n v="380.43"/>
  </r>
  <r>
    <s v="CUST002"/>
    <x v="14"/>
    <x v="0"/>
    <x v="0"/>
    <x v="53"/>
    <n v="18"/>
    <n v="0.1"/>
    <x v="35"/>
    <n v="339.44"/>
  </r>
  <r>
    <s v="CUST009"/>
    <x v="9"/>
    <x v="3"/>
    <x v="2"/>
    <x v="54"/>
    <n v="15"/>
    <n v="0.15"/>
    <x v="36"/>
    <n v="173.99"/>
  </r>
  <r>
    <s v="CUST005"/>
    <x v="1"/>
    <x v="2"/>
    <x v="3"/>
    <x v="55"/>
    <n v="10"/>
    <n v="0.2"/>
    <x v="36"/>
    <n v="257.33"/>
  </r>
  <r>
    <s v="CUST030"/>
    <x v="24"/>
    <x v="4"/>
    <x v="0"/>
    <x v="56"/>
    <n v="11"/>
    <n v="0"/>
    <x v="37"/>
    <n v="389.3"/>
  </r>
  <r>
    <s v="CUST029"/>
    <x v="23"/>
    <x v="3"/>
    <x v="2"/>
    <x v="57"/>
    <n v="1"/>
    <n v="0.2"/>
    <x v="38"/>
    <n v="148.32"/>
  </r>
  <r>
    <s v="CUST003"/>
    <x v="9"/>
    <x v="3"/>
    <x v="0"/>
    <x v="58"/>
    <n v="2"/>
    <n v="0.1"/>
    <x v="39"/>
    <n v="449.58"/>
  </r>
  <r>
    <s v="CUST012"/>
    <x v="20"/>
    <x v="0"/>
    <x v="1"/>
    <x v="59"/>
    <n v="17"/>
    <n v="0"/>
    <x v="39"/>
    <n v="680.18"/>
  </r>
  <r>
    <s v="CUST021"/>
    <x v="6"/>
    <x v="1"/>
    <x v="0"/>
    <x v="60"/>
    <n v="8"/>
    <n v="0.1"/>
    <x v="40"/>
    <n v="497.99"/>
  </r>
  <r>
    <s v="CUST010"/>
    <x v="18"/>
    <x v="4"/>
    <x v="4"/>
    <x v="61"/>
    <n v="9"/>
    <n v="0"/>
    <x v="41"/>
    <n v="220.05"/>
  </r>
  <r>
    <s v="CUST026"/>
    <x v="6"/>
    <x v="1"/>
    <x v="3"/>
    <x v="62"/>
    <n v="17"/>
    <n v="0.1"/>
    <x v="42"/>
    <n v="294.12"/>
  </r>
  <r>
    <s v="CUST003"/>
    <x v="0"/>
    <x v="0"/>
    <x v="2"/>
    <x v="63"/>
    <n v="17"/>
    <n v="0.2"/>
    <x v="42"/>
    <n v="201.11"/>
  </r>
  <r>
    <s v="CUST029"/>
    <x v="21"/>
    <x v="2"/>
    <x v="2"/>
    <x v="64"/>
    <n v="5"/>
    <n v="0.05"/>
    <x v="43"/>
    <n v="261.27"/>
  </r>
  <r>
    <s v="CUST003"/>
    <x v="3"/>
    <x v="3"/>
    <x v="3"/>
    <x v="65"/>
    <n v="15"/>
    <n v="0.15"/>
    <x v="44"/>
    <n v="307.82"/>
  </r>
  <r>
    <s v="CUST002"/>
    <x v="6"/>
    <x v="2"/>
    <x v="0"/>
    <x v="66"/>
    <n v="12"/>
    <n v="0.05"/>
    <x v="45"/>
    <n v="333.05"/>
  </r>
  <r>
    <s v="CUST020"/>
    <x v="18"/>
    <x v="0"/>
    <x v="3"/>
    <x v="67"/>
    <n v="5"/>
    <n v="0.05"/>
    <x v="45"/>
    <n v="455.97"/>
  </r>
  <r>
    <s v="CUST021"/>
    <x v="13"/>
    <x v="3"/>
    <x v="2"/>
    <x v="68"/>
    <n v="11"/>
    <n v="0.05"/>
    <x v="46"/>
    <n v="242.31"/>
  </r>
  <r>
    <s v="CUST008"/>
    <x v="0"/>
    <x v="4"/>
    <x v="4"/>
    <x v="69"/>
    <n v="1"/>
    <n v="0.05"/>
    <x v="47"/>
    <n v="344.06"/>
  </r>
  <r>
    <s v="CUST030"/>
    <x v="18"/>
    <x v="4"/>
    <x v="2"/>
    <x v="70"/>
    <n v="1"/>
    <n v="0.05"/>
    <x v="48"/>
    <n v="144.56"/>
  </r>
  <r>
    <s v="CUST020"/>
    <x v="25"/>
    <x v="2"/>
    <x v="4"/>
    <x v="71"/>
    <n v="19"/>
    <n v="0"/>
    <x v="49"/>
    <n v="441.54"/>
  </r>
  <r>
    <s v="CUST024"/>
    <x v="18"/>
    <x v="1"/>
    <x v="2"/>
    <x v="72"/>
    <n v="10"/>
    <n v="0.15"/>
    <x v="50"/>
    <n v="114.7"/>
  </r>
  <r>
    <s v="CUST012"/>
    <x v="26"/>
    <x v="2"/>
    <x v="0"/>
    <x v="73"/>
    <n v="5"/>
    <n v="0.2"/>
    <x v="50"/>
    <n v="257.42"/>
  </r>
  <r>
    <s v="CUST024"/>
    <x v="9"/>
    <x v="0"/>
    <x v="2"/>
    <x v="74"/>
    <n v="13"/>
    <n v="0.2"/>
    <x v="51"/>
    <n v="305.32"/>
  </r>
  <r>
    <s v="CUST012"/>
    <x v="5"/>
    <x v="0"/>
    <x v="2"/>
    <x v="75"/>
    <n v="5"/>
    <n v="0.15"/>
    <x v="52"/>
    <n v="258.24"/>
  </r>
  <r>
    <s v="CUST005"/>
    <x v="17"/>
    <x v="4"/>
    <x v="3"/>
    <x v="76"/>
    <n v="3"/>
    <n v="0"/>
    <x v="53"/>
    <n v="441.47"/>
  </r>
  <r>
    <s v="CUST004"/>
    <x v="12"/>
    <x v="3"/>
    <x v="3"/>
    <x v="77"/>
    <n v="7"/>
    <n v="0.05"/>
    <x v="54"/>
    <n v="172.26"/>
  </r>
  <r>
    <s v="CUST026"/>
    <x v="5"/>
    <x v="0"/>
    <x v="4"/>
    <x v="78"/>
    <n v="1"/>
    <n v="0"/>
    <x v="55"/>
    <n v="500.1"/>
  </r>
  <r>
    <s v="CUST030"/>
    <x v="6"/>
    <x v="1"/>
    <x v="1"/>
    <x v="79"/>
    <n v="18"/>
    <n v="0.1"/>
    <x v="56"/>
    <n v="581.16"/>
  </r>
  <r>
    <s v="CUST007"/>
    <x v="18"/>
    <x v="3"/>
    <x v="0"/>
    <x v="80"/>
    <n v="19"/>
    <n v="0"/>
    <x v="57"/>
    <n v="271.88"/>
  </r>
  <r>
    <s v="CUST020"/>
    <x v="7"/>
    <x v="1"/>
    <x v="3"/>
    <x v="81"/>
    <n v="17"/>
    <n v="0"/>
    <x v="57"/>
    <n v="400.29"/>
  </r>
  <r>
    <s v="CUST028"/>
    <x v="15"/>
    <x v="4"/>
    <x v="2"/>
    <x v="82"/>
    <n v="7"/>
    <n v="0.1"/>
    <x v="58"/>
    <n v="177.77"/>
  </r>
  <r>
    <s v="CUST005"/>
    <x v="14"/>
    <x v="4"/>
    <x v="0"/>
    <x v="83"/>
    <n v="7"/>
    <n v="0.05"/>
    <x v="58"/>
    <n v="406.86"/>
  </r>
  <r>
    <s v="CUST015"/>
    <x v="8"/>
    <x v="0"/>
    <x v="1"/>
    <x v="84"/>
    <n v="4"/>
    <n v="0.1"/>
    <x v="59"/>
    <n v="526"/>
  </r>
  <r>
    <s v="CUST003"/>
    <x v="0"/>
    <x v="2"/>
    <x v="2"/>
    <x v="85"/>
    <n v="17"/>
    <n v="0"/>
    <x v="59"/>
    <n v="333.97"/>
  </r>
  <r>
    <s v="CUST023"/>
    <x v="18"/>
    <x v="1"/>
    <x v="3"/>
    <x v="86"/>
    <n v="9"/>
    <n v="0"/>
    <x v="60"/>
    <n v="305.8"/>
  </r>
  <r>
    <s v="CUST004"/>
    <x v="23"/>
    <x v="0"/>
    <x v="4"/>
    <x v="87"/>
    <n v="19"/>
    <n v="0"/>
    <x v="61"/>
    <n v="649.79"/>
  </r>
  <r>
    <s v="CUST023"/>
    <x v="3"/>
    <x v="1"/>
    <x v="4"/>
    <x v="88"/>
    <n v="11"/>
    <n v="0.15"/>
    <x v="62"/>
    <n v="441.53"/>
  </r>
  <r>
    <s v="CUST022"/>
    <x v="15"/>
    <x v="2"/>
    <x v="0"/>
    <x v="89"/>
    <n v="16"/>
    <n v="0.05"/>
    <x v="62"/>
    <n v="480.51"/>
  </r>
  <r>
    <s v="CUST007"/>
    <x v="24"/>
    <x v="0"/>
    <x v="3"/>
    <x v="90"/>
    <n v="4"/>
    <n v="0.1"/>
    <x v="63"/>
    <n v="346.99"/>
  </r>
  <r>
    <s v="CUST013"/>
    <x v="1"/>
    <x v="2"/>
    <x v="3"/>
    <x v="91"/>
    <n v="1"/>
    <n v="0.1"/>
    <x v="64"/>
    <n v="229.23"/>
  </r>
  <r>
    <s v="CUST027"/>
    <x v="9"/>
    <x v="1"/>
    <x v="4"/>
    <x v="92"/>
    <n v="13"/>
    <n v="0.15"/>
    <x v="64"/>
    <n v="334.84"/>
  </r>
  <r>
    <s v="CUST003"/>
    <x v="3"/>
    <x v="0"/>
    <x v="2"/>
    <x v="93"/>
    <n v="19"/>
    <n v="0.2"/>
    <x v="65"/>
    <n v="231.79"/>
  </r>
  <r>
    <s v="CUST018"/>
    <x v="13"/>
    <x v="2"/>
    <x v="0"/>
    <x v="94"/>
    <n v="2"/>
    <n v="0.15"/>
    <x v="66"/>
    <n v="328.54"/>
  </r>
  <r>
    <s v="CUST020"/>
    <x v="2"/>
    <x v="2"/>
    <x v="0"/>
    <x v="95"/>
    <n v="6"/>
    <n v="0"/>
    <x v="67"/>
    <n v="366.99"/>
  </r>
  <r>
    <s v="CUST029"/>
    <x v="21"/>
    <x v="0"/>
    <x v="3"/>
    <x v="96"/>
    <n v="7"/>
    <n v="0.15"/>
    <x v="68"/>
    <n v="348.96"/>
  </r>
  <r>
    <s v="CUST021"/>
    <x v="3"/>
    <x v="3"/>
    <x v="1"/>
    <x v="97"/>
    <n v="11"/>
    <n v="0.1"/>
    <x v="68"/>
    <n v="542.62"/>
  </r>
  <r>
    <s v="CUST017"/>
    <x v="23"/>
    <x v="0"/>
    <x v="4"/>
    <x v="98"/>
    <n v="10"/>
    <n v="0.2"/>
    <x v="69"/>
    <n v="297.69"/>
  </r>
  <r>
    <s v="CUST003"/>
    <x v="3"/>
    <x v="4"/>
    <x v="1"/>
    <x v="99"/>
    <n v="12"/>
    <n v="0"/>
    <x v="69"/>
    <n v="451.1"/>
  </r>
  <r>
    <s v="CUST027"/>
    <x v="9"/>
    <x v="3"/>
    <x v="0"/>
    <x v="100"/>
    <n v="17"/>
    <n v="0.1"/>
    <x v="70"/>
    <n v="210.95"/>
  </r>
  <r>
    <s v="CUST016"/>
    <x v="4"/>
    <x v="3"/>
    <x v="1"/>
    <x v="101"/>
    <n v="8"/>
    <n v="0.1"/>
    <x v="70"/>
    <n v="445.59"/>
  </r>
  <r>
    <s v="CUST008"/>
    <x v="19"/>
    <x v="4"/>
    <x v="2"/>
    <x v="102"/>
    <n v="13"/>
    <n v="0.2"/>
    <x v="71"/>
    <n v="202.82"/>
  </r>
  <r>
    <s v="CUST012"/>
    <x v="14"/>
    <x v="3"/>
    <x v="2"/>
    <x v="103"/>
    <n v="17"/>
    <n v="0"/>
    <x v="72"/>
    <n v="231.32"/>
  </r>
  <r>
    <s v="CUST025"/>
    <x v="13"/>
    <x v="1"/>
    <x v="3"/>
    <x v="104"/>
    <n v="8"/>
    <n v="0"/>
    <x v="73"/>
    <n v="450.29"/>
  </r>
  <r>
    <s v="CUST014"/>
    <x v="23"/>
    <x v="2"/>
    <x v="0"/>
    <x v="105"/>
    <n v="8"/>
    <n v="0.2"/>
    <x v="74"/>
    <n v="307.72000000000003"/>
  </r>
  <r>
    <s v="CUST008"/>
    <x v="3"/>
    <x v="1"/>
    <x v="0"/>
    <x v="106"/>
    <n v="19"/>
    <n v="0.15"/>
    <x v="74"/>
    <n v="367.59"/>
  </r>
  <r>
    <s v="CUST015"/>
    <x v="3"/>
    <x v="0"/>
    <x v="1"/>
    <x v="107"/>
    <n v="9"/>
    <n v="0.2"/>
    <x v="75"/>
    <n v="769.46"/>
  </r>
  <r>
    <s v="CUST025"/>
    <x v="24"/>
    <x v="4"/>
    <x v="1"/>
    <x v="108"/>
    <n v="14"/>
    <n v="0.1"/>
    <x v="76"/>
    <n v="327.92"/>
  </r>
  <r>
    <s v="CUST019"/>
    <x v="7"/>
    <x v="4"/>
    <x v="1"/>
    <x v="109"/>
    <n v="7"/>
    <n v="0.15"/>
    <x v="76"/>
    <n v="553.29999999999995"/>
  </r>
  <r>
    <s v="CUST024"/>
    <x v="24"/>
    <x v="1"/>
    <x v="0"/>
    <x v="110"/>
    <n v="16"/>
    <n v="0.1"/>
    <x v="77"/>
    <n v="352.86"/>
  </r>
  <r>
    <s v="CUST027"/>
    <x v="3"/>
    <x v="0"/>
    <x v="1"/>
    <x v="111"/>
    <n v="17"/>
    <n v="0.1"/>
    <x v="78"/>
    <n v="313.91000000000003"/>
  </r>
  <r>
    <s v="CUST006"/>
    <x v="26"/>
    <x v="0"/>
    <x v="3"/>
    <x v="112"/>
    <n v="1"/>
    <n v="0.15"/>
    <x v="78"/>
    <n v="355.1"/>
  </r>
  <r>
    <s v="CUST009"/>
    <x v="9"/>
    <x v="2"/>
    <x v="2"/>
    <x v="113"/>
    <n v="1"/>
    <n v="0"/>
    <x v="79"/>
    <n v="192.76"/>
  </r>
  <r>
    <s v="CUST003"/>
    <x v="25"/>
    <x v="3"/>
    <x v="1"/>
    <x v="114"/>
    <n v="1"/>
    <n v="0.2"/>
    <x v="80"/>
    <n v="264.44"/>
  </r>
  <r>
    <s v="CUST012"/>
    <x v="18"/>
    <x v="0"/>
    <x v="2"/>
    <x v="115"/>
    <n v="15"/>
    <n v="0"/>
    <x v="81"/>
    <n v="172.21"/>
  </r>
  <r>
    <s v="CUST013"/>
    <x v="5"/>
    <x v="4"/>
    <x v="0"/>
    <x v="116"/>
    <n v="4"/>
    <n v="0.05"/>
    <x v="82"/>
    <n v="474.66"/>
  </r>
  <r>
    <s v="CUST008"/>
    <x v="3"/>
    <x v="1"/>
    <x v="4"/>
    <x v="117"/>
    <n v="14"/>
    <n v="0.05"/>
    <x v="83"/>
    <n v="433.58"/>
  </r>
  <r>
    <s v="CUST025"/>
    <x v="14"/>
    <x v="1"/>
    <x v="0"/>
    <x v="118"/>
    <n v="2"/>
    <n v="0.15"/>
    <x v="84"/>
    <n v="343.6"/>
  </r>
  <r>
    <s v="CUST026"/>
    <x v="20"/>
    <x v="3"/>
    <x v="3"/>
    <x v="119"/>
    <n v="4"/>
    <n v="0.05"/>
    <x v="84"/>
    <n v="318.3"/>
  </r>
  <r>
    <s v="CUST001"/>
    <x v="12"/>
    <x v="3"/>
    <x v="3"/>
    <x v="120"/>
    <n v="3"/>
    <n v="0.05"/>
    <x v="85"/>
    <n v="358.41"/>
  </r>
  <r>
    <s v="CUST028"/>
    <x v="15"/>
    <x v="2"/>
    <x v="1"/>
    <x v="121"/>
    <n v="5"/>
    <n v="0"/>
    <x v="86"/>
    <n v="581.5"/>
  </r>
  <r>
    <s v="CUST025"/>
    <x v="12"/>
    <x v="1"/>
    <x v="4"/>
    <x v="122"/>
    <n v="10"/>
    <n v="0.1"/>
    <x v="87"/>
    <n v="410.9"/>
  </r>
  <r>
    <s v="CUST019"/>
    <x v="2"/>
    <x v="2"/>
    <x v="2"/>
    <x v="123"/>
    <n v="14"/>
    <n v="0"/>
    <x v="88"/>
    <n v="179.51"/>
  </r>
  <r>
    <s v="CUST004"/>
    <x v="2"/>
    <x v="4"/>
    <x v="1"/>
    <x v="124"/>
    <n v="18"/>
    <n v="0.2"/>
    <x v="88"/>
    <n v="511.14"/>
  </r>
  <r>
    <s v="CUST024"/>
    <x v="3"/>
    <x v="3"/>
    <x v="2"/>
    <x v="125"/>
    <n v="1"/>
    <n v="0.15"/>
    <x v="88"/>
    <n v="150.18"/>
  </r>
  <r>
    <s v="CUST002"/>
    <x v="15"/>
    <x v="1"/>
    <x v="2"/>
    <x v="126"/>
    <n v="15"/>
    <n v="0"/>
    <x v="89"/>
    <n v="352.65"/>
  </r>
  <r>
    <s v="CUST009"/>
    <x v="21"/>
    <x v="2"/>
    <x v="3"/>
    <x v="127"/>
    <n v="10"/>
    <n v="0"/>
    <x v="89"/>
    <n v="472.62"/>
  </r>
  <r>
    <s v="CUST029"/>
    <x v="12"/>
    <x v="1"/>
    <x v="2"/>
    <x v="128"/>
    <n v="4"/>
    <n v="0.15"/>
    <x v="89"/>
    <n v="195.33"/>
  </r>
  <r>
    <s v="CUST027"/>
    <x v="3"/>
    <x v="0"/>
    <x v="2"/>
    <x v="129"/>
    <n v="19"/>
    <n v="0"/>
    <x v="90"/>
    <n v="64.63"/>
  </r>
  <r>
    <s v="CUST011"/>
    <x v="21"/>
    <x v="1"/>
    <x v="0"/>
    <x v="130"/>
    <n v="5"/>
    <n v="0.05"/>
    <x v="90"/>
    <n v="461.12"/>
  </r>
  <r>
    <s v="CUST021"/>
    <x v="9"/>
    <x v="4"/>
    <x v="0"/>
    <x v="131"/>
    <n v="8"/>
    <n v="0.05"/>
    <x v="91"/>
    <n v="437.11"/>
  </r>
  <r>
    <s v="CUST014"/>
    <x v="26"/>
    <x v="2"/>
    <x v="3"/>
    <x v="132"/>
    <n v="8"/>
    <n v="0.1"/>
    <x v="91"/>
    <n v="268.97000000000003"/>
  </r>
  <r>
    <s v="CUST018"/>
    <x v="12"/>
    <x v="2"/>
    <x v="2"/>
    <x v="133"/>
    <n v="1"/>
    <n v="0"/>
    <x v="92"/>
    <n v="265.26"/>
  </r>
  <r>
    <s v="CUST001"/>
    <x v="11"/>
    <x v="0"/>
    <x v="2"/>
    <x v="134"/>
    <n v="19"/>
    <n v="0.2"/>
    <x v="93"/>
    <n v="178.91"/>
  </r>
  <r>
    <s v="CUST007"/>
    <x v="9"/>
    <x v="3"/>
    <x v="4"/>
    <x v="135"/>
    <n v="3"/>
    <n v="0.05"/>
    <x v="94"/>
    <n v="356.5"/>
  </r>
  <r>
    <s v="CUST015"/>
    <x v="26"/>
    <x v="0"/>
    <x v="3"/>
    <x v="136"/>
    <n v="4"/>
    <n v="0.2"/>
    <x v="95"/>
    <n v="229.65"/>
  </r>
  <r>
    <s v="CUST015"/>
    <x v="9"/>
    <x v="4"/>
    <x v="2"/>
    <x v="137"/>
    <n v="8"/>
    <n v="0.05"/>
    <x v="96"/>
    <n v="121.54"/>
  </r>
  <r>
    <s v="CUST002"/>
    <x v="21"/>
    <x v="2"/>
    <x v="3"/>
    <x v="138"/>
    <n v="19"/>
    <n v="0.05"/>
    <x v="97"/>
    <n v="268"/>
  </r>
  <r>
    <s v="CUST001"/>
    <x v="4"/>
    <x v="4"/>
    <x v="3"/>
    <x v="139"/>
    <n v="16"/>
    <n v="0.15"/>
    <x v="98"/>
    <n v="426.16"/>
  </r>
  <r>
    <s v="CUST027"/>
    <x v="5"/>
    <x v="4"/>
    <x v="2"/>
    <x v="140"/>
    <n v="10"/>
    <n v="0.15"/>
    <x v="98"/>
    <n v="316.32"/>
  </r>
  <r>
    <s v="CUST026"/>
    <x v="24"/>
    <x v="1"/>
    <x v="0"/>
    <x v="141"/>
    <n v="9"/>
    <n v="0"/>
    <x v="99"/>
    <n v="492.5"/>
  </r>
  <r>
    <s v="CUST026"/>
    <x v="11"/>
    <x v="0"/>
    <x v="2"/>
    <x v="142"/>
    <n v="19"/>
    <n v="0.2"/>
    <x v="100"/>
    <n v="232.33"/>
  </r>
  <r>
    <s v="CUST022"/>
    <x v="12"/>
    <x v="4"/>
    <x v="4"/>
    <x v="143"/>
    <n v="16"/>
    <n v="0.05"/>
    <x v="101"/>
    <n v="165.97"/>
  </r>
  <r>
    <s v="CUST004"/>
    <x v="6"/>
    <x v="3"/>
    <x v="1"/>
    <x v="144"/>
    <n v="6"/>
    <n v="0.15"/>
    <x v="102"/>
    <n v="675.5"/>
  </r>
  <r>
    <s v="CUST001"/>
    <x v="26"/>
    <x v="3"/>
    <x v="1"/>
    <x v="145"/>
    <n v="13"/>
    <n v="0.2"/>
    <x v="102"/>
    <n v="134.66"/>
  </r>
  <r>
    <s v="CUST022"/>
    <x v="3"/>
    <x v="0"/>
    <x v="0"/>
    <x v="146"/>
    <n v="14"/>
    <n v="0.1"/>
    <x v="103"/>
    <n v="487.36"/>
  </r>
  <r>
    <s v="CUST011"/>
    <x v="25"/>
    <x v="4"/>
    <x v="1"/>
    <x v="147"/>
    <n v="11"/>
    <n v="0.05"/>
    <x v="104"/>
    <n v="314.74"/>
  </r>
  <r>
    <s v="CUST028"/>
    <x v="14"/>
    <x v="3"/>
    <x v="4"/>
    <x v="148"/>
    <n v="1"/>
    <n v="0.2"/>
    <x v="104"/>
    <n v="111.39"/>
  </r>
  <r>
    <s v="CUST011"/>
    <x v="5"/>
    <x v="3"/>
    <x v="0"/>
    <x v="149"/>
    <n v="18"/>
    <n v="0.1"/>
    <x v="105"/>
    <n v="318.47000000000003"/>
  </r>
  <r>
    <s v="CUST028"/>
    <x v="3"/>
    <x v="4"/>
    <x v="4"/>
    <x v="150"/>
    <n v="10"/>
    <n v="0.1"/>
    <x v="106"/>
    <n v="301.75"/>
  </r>
  <r>
    <s v="CUST016"/>
    <x v="2"/>
    <x v="2"/>
    <x v="1"/>
    <x v="151"/>
    <n v="5"/>
    <n v="0.05"/>
    <x v="106"/>
    <n v="413.36"/>
  </r>
  <r>
    <s v="CUST010"/>
    <x v="5"/>
    <x v="0"/>
    <x v="3"/>
    <x v="152"/>
    <n v="18"/>
    <n v="0.05"/>
    <x v="107"/>
    <n v="286.68"/>
  </r>
  <r>
    <s v="CUST013"/>
    <x v="20"/>
    <x v="3"/>
    <x v="1"/>
    <x v="153"/>
    <n v="19"/>
    <n v="0.05"/>
    <x v="108"/>
    <n v="556.30999999999995"/>
  </r>
  <r>
    <s v="CUST015"/>
    <x v="1"/>
    <x v="2"/>
    <x v="3"/>
    <x v="154"/>
    <n v="11"/>
    <n v="0.1"/>
    <x v="109"/>
    <n v="332.19"/>
  </r>
  <r>
    <s v="CUST015"/>
    <x v="3"/>
    <x v="3"/>
    <x v="2"/>
    <x v="155"/>
    <n v="5"/>
    <n v="0.2"/>
    <x v="110"/>
    <n v="336.24"/>
  </r>
  <r>
    <s v="CUST015"/>
    <x v="8"/>
    <x v="0"/>
    <x v="1"/>
    <x v="156"/>
    <n v="9"/>
    <n v="0.05"/>
    <x v="111"/>
    <n v="180.39"/>
  </r>
  <r>
    <s v="CUST008"/>
    <x v="12"/>
    <x v="4"/>
    <x v="1"/>
    <x v="157"/>
    <n v="2"/>
    <n v="0.1"/>
    <x v="112"/>
    <n v="484.35"/>
  </r>
  <r>
    <s v="CUST008"/>
    <x v="6"/>
    <x v="4"/>
    <x v="4"/>
    <x v="158"/>
    <n v="7"/>
    <n v="0"/>
    <x v="112"/>
    <n v="562.82000000000005"/>
  </r>
  <r>
    <s v="CUST023"/>
    <x v="2"/>
    <x v="2"/>
    <x v="1"/>
    <x v="159"/>
    <n v="6"/>
    <n v="0.2"/>
    <x v="112"/>
    <n v="447.34"/>
  </r>
  <r>
    <s v="CUST024"/>
    <x v="17"/>
    <x v="3"/>
    <x v="1"/>
    <x v="160"/>
    <n v="12"/>
    <n v="0.2"/>
    <x v="113"/>
    <n v="649.04999999999995"/>
  </r>
  <r>
    <s v="CUST018"/>
    <x v="14"/>
    <x v="3"/>
    <x v="0"/>
    <x v="161"/>
    <n v="11"/>
    <n v="0.2"/>
    <x v="114"/>
    <n v="205"/>
  </r>
  <r>
    <s v="CUST030"/>
    <x v="11"/>
    <x v="0"/>
    <x v="1"/>
    <x v="162"/>
    <n v="17"/>
    <n v="0.1"/>
    <x v="115"/>
    <n v="263.32"/>
  </r>
  <r>
    <s v="CUST030"/>
    <x v="6"/>
    <x v="1"/>
    <x v="1"/>
    <x v="163"/>
    <n v="5"/>
    <n v="0.2"/>
    <x v="116"/>
    <n v="443.99"/>
  </r>
  <r>
    <s v="CUST015"/>
    <x v="12"/>
    <x v="1"/>
    <x v="0"/>
    <x v="164"/>
    <n v="9"/>
    <n v="0.1"/>
    <x v="117"/>
    <n v="395.31"/>
  </r>
  <r>
    <s v="CUST002"/>
    <x v="14"/>
    <x v="0"/>
    <x v="4"/>
    <x v="165"/>
    <n v="7"/>
    <n v="0.1"/>
    <x v="118"/>
    <n v="335.04"/>
  </r>
  <r>
    <s v="CUST024"/>
    <x v="5"/>
    <x v="4"/>
    <x v="1"/>
    <x v="166"/>
    <n v="16"/>
    <n v="0.1"/>
    <x v="119"/>
    <n v="333.85"/>
  </r>
  <r>
    <s v="CUST004"/>
    <x v="0"/>
    <x v="1"/>
    <x v="4"/>
    <x v="167"/>
    <n v="6"/>
    <n v="0.1"/>
    <x v="120"/>
    <n v="531.05999999999995"/>
  </r>
  <r>
    <s v="CUST004"/>
    <x v="6"/>
    <x v="2"/>
    <x v="4"/>
    <x v="168"/>
    <n v="19"/>
    <n v="0.1"/>
    <x v="121"/>
    <n v="232.19"/>
  </r>
  <r>
    <s v="CUST028"/>
    <x v="3"/>
    <x v="0"/>
    <x v="2"/>
    <x v="169"/>
    <n v="14"/>
    <n v="0.2"/>
    <x v="122"/>
    <n v="223.04"/>
  </r>
  <r>
    <s v="CUST012"/>
    <x v="12"/>
    <x v="3"/>
    <x v="1"/>
    <x v="170"/>
    <n v="4"/>
    <n v="0"/>
    <x v="123"/>
    <n v="422.92"/>
  </r>
  <r>
    <s v="CUST026"/>
    <x v="18"/>
    <x v="0"/>
    <x v="2"/>
    <x v="171"/>
    <n v="3"/>
    <n v="0"/>
    <x v="124"/>
    <n v="257.45"/>
  </r>
  <r>
    <s v="CUST009"/>
    <x v="6"/>
    <x v="3"/>
    <x v="0"/>
    <x v="172"/>
    <n v="2"/>
    <n v="0.2"/>
    <x v="125"/>
    <n v="380.75"/>
  </r>
  <r>
    <s v="CUST003"/>
    <x v="11"/>
    <x v="2"/>
    <x v="0"/>
    <x v="173"/>
    <n v="15"/>
    <n v="0.2"/>
    <x v="126"/>
    <n v="225.37"/>
  </r>
  <r>
    <s v="CUST002"/>
    <x v="13"/>
    <x v="4"/>
    <x v="4"/>
    <x v="174"/>
    <n v="12"/>
    <n v="0.2"/>
    <x v="126"/>
    <n v="582.55999999999995"/>
  </r>
  <r>
    <s v="CUST013"/>
    <x v="17"/>
    <x v="4"/>
    <x v="0"/>
    <x v="175"/>
    <n v="2"/>
    <n v="0.15"/>
    <x v="127"/>
    <n v="344.91"/>
  </r>
  <r>
    <s v="CUST018"/>
    <x v="6"/>
    <x v="4"/>
    <x v="1"/>
    <x v="176"/>
    <n v="18"/>
    <n v="0.2"/>
    <x v="128"/>
    <n v="330.79"/>
  </r>
  <r>
    <s v="CUST017"/>
    <x v="6"/>
    <x v="4"/>
    <x v="1"/>
    <x v="177"/>
    <n v="8"/>
    <n v="0.1"/>
    <x v="129"/>
    <n v="460"/>
  </r>
  <r>
    <s v="CUST004"/>
    <x v="5"/>
    <x v="1"/>
    <x v="0"/>
    <x v="178"/>
    <n v="6"/>
    <n v="0"/>
    <x v="130"/>
    <n v="439.88"/>
  </r>
  <r>
    <s v="CUST028"/>
    <x v="23"/>
    <x v="3"/>
    <x v="0"/>
    <x v="179"/>
    <n v="8"/>
    <n v="0.1"/>
    <x v="131"/>
    <n v="255.79"/>
  </r>
  <r>
    <s v="CUST028"/>
    <x v="20"/>
    <x v="3"/>
    <x v="0"/>
    <x v="180"/>
    <n v="15"/>
    <n v="0.2"/>
    <x v="132"/>
    <n v="159.74"/>
  </r>
  <r>
    <s v="CUST014"/>
    <x v="9"/>
    <x v="2"/>
    <x v="0"/>
    <x v="181"/>
    <n v="18"/>
    <n v="0.05"/>
    <x v="133"/>
    <n v="404.39"/>
  </r>
  <r>
    <s v="CUST003"/>
    <x v="9"/>
    <x v="1"/>
    <x v="4"/>
    <x v="182"/>
    <n v="18"/>
    <n v="0.05"/>
    <x v="134"/>
    <n v="187.57"/>
  </r>
  <r>
    <s v="CUST029"/>
    <x v="18"/>
    <x v="0"/>
    <x v="1"/>
    <x v="183"/>
    <n v="2"/>
    <n v="0.05"/>
    <x v="135"/>
    <n v="410.87"/>
  </r>
  <r>
    <s v="CUST021"/>
    <x v="18"/>
    <x v="0"/>
    <x v="3"/>
    <x v="184"/>
    <n v="14"/>
    <n v="0.2"/>
    <x v="136"/>
    <n v="275.77999999999997"/>
  </r>
  <r>
    <s v="CUST007"/>
    <x v="18"/>
    <x v="0"/>
    <x v="1"/>
    <x v="185"/>
    <n v="18"/>
    <n v="0"/>
    <x v="137"/>
    <n v="746.74"/>
  </r>
  <r>
    <s v="CUST009"/>
    <x v="17"/>
    <x v="2"/>
    <x v="1"/>
    <x v="186"/>
    <n v="9"/>
    <n v="0.1"/>
    <x v="138"/>
    <n v="310.24"/>
  </r>
  <r>
    <s v="CUST023"/>
    <x v="20"/>
    <x v="2"/>
    <x v="1"/>
    <x v="187"/>
    <n v="1"/>
    <n v="0"/>
    <x v="139"/>
    <n v="341.12"/>
  </r>
  <r>
    <s v="CUST029"/>
    <x v="4"/>
    <x v="3"/>
    <x v="2"/>
    <x v="188"/>
    <n v="15"/>
    <n v="0.2"/>
    <x v="140"/>
    <n v="91.71"/>
  </r>
  <r>
    <s v="CUST009"/>
    <x v="4"/>
    <x v="2"/>
    <x v="3"/>
    <x v="189"/>
    <n v="11"/>
    <n v="0.2"/>
    <x v="141"/>
    <n v="331.59"/>
  </r>
  <r>
    <s v="CUST007"/>
    <x v="0"/>
    <x v="2"/>
    <x v="1"/>
    <x v="190"/>
    <n v="9"/>
    <n v="0"/>
    <x v="142"/>
    <n v="381.07"/>
  </r>
  <r>
    <s v="CUST030"/>
    <x v="17"/>
    <x v="3"/>
    <x v="0"/>
    <x v="191"/>
    <n v="10"/>
    <n v="0.15"/>
    <x v="142"/>
    <n v="255.24"/>
  </r>
  <r>
    <s v="CUST018"/>
    <x v="26"/>
    <x v="4"/>
    <x v="1"/>
    <x v="192"/>
    <n v="14"/>
    <n v="0.05"/>
    <x v="143"/>
    <n v="692.05"/>
  </r>
  <r>
    <s v="CUST008"/>
    <x v="21"/>
    <x v="1"/>
    <x v="3"/>
    <x v="193"/>
    <n v="17"/>
    <n v="0.1"/>
    <x v="143"/>
    <n v="344.41"/>
  </r>
  <r>
    <s v="CUST014"/>
    <x v="11"/>
    <x v="0"/>
    <x v="1"/>
    <x v="194"/>
    <n v="8"/>
    <n v="0.15"/>
    <x v="144"/>
    <n v="397.06"/>
  </r>
  <r>
    <s v="CUST024"/>
    <x v="8"/>
    <x v="4"/>
    <x v="1"/>
    <x v="195"/>
    <n v="8"/>
    <n v="0.2"/>
    <x v="144"/>
    <n v="586.14"/>
  </r>
  <r>
    <s v="CUST028"/>
    <x v="1"/>
    <x v="2"/>
    <x v="4"/>
    <x v="196"/>
    <n v="3"/>
    <n v="0"/>
    <x v="145"/>
    <n v="333.36"/>
  </r>
  <r>
    <s v="CUST015"/>
    <x v="11"/>
    <x v="0"/>
    <x v="4"/>
    <x v="197"/>
    <n v="17"/>
    <n v="0"/>
    <x v="146"/>
    <n v="245.45"/>
  </r>
  <r>
    <s v="CUST010"/>
    <x v="8"/>
    <x v="1"/>
    <x v="0"/>
    <x v="198"/>
    <n v="8"/>
    <n v="0.05"/>
    <x v="146"/>
    <n v="379.09"/>
  </r>
  <r>
    <s v="CUST016"/>
    <x v="8"/>
    <x v="2"/>
    <x v="1"/>
    <x v="199"/>
    <n v="2"/>
    <n v="0.05"/>
    <x v="147"/>
    <n v="440.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4B2AAA-0931-41A0-A9BB-CCDFB305D8FA}"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L2:M33" firstHeaderRow="1" firstDataRow="1" firstDataCol="1"/>
  <pivotFields count="9">
    <pivotField showAll="0"/>
    <pivotField showAll="0"/>
    <pivotField axis="axisRow" showAll="0">
      <items count="6">
        <item x="4"/>
        <item x="1"/>
        <item x="3"/>
        <item x="2"/>
        <item x="0"/>
        <item t="default"/>
      </items>
    </pivotField>
    <pivotField axis="axisRow" showAll="0">
      <items count="6">
        <item x="0"/>
        <item x="1"/>
        <item x="2"/>
        <item x="3"/>
        <item x="4"/>
        <item t="default"/>
      </items>
    </pivotField>
    <pivotField dataField="1" showAll="0"/>
    <pivotField showAll="0"/>
    <pivotField showAll="0"/>
    <pivotField numFmtId="14" showAll="0"/>
    <pivotField showAll="0"/>
  </pivotFields>
  <rowFields count="2">
    <field x="2"/>
    <field x="3"/>
  </rowFields>
  <rowItems count="31">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t="grand">
      <x/>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BFEDCE-27CD-4755-9526-BDDBB1585290}" name="PivotTable1"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B9" firstHeaderRow="1" firstDataRow="1" firstDataCol="1"/>
  <pivotFields count="11">
    <pivotField showAll="0"/>
    <pivotField showAll="0"/>
    <pivotField showAll="0">
      <items count="6">
        <item x="4"/>
        <item x="1"/>
        <item x="3"/>
        <item x="2"/>
        <item x="0"/>
        <item t="default"/>
      </items>
    </pivotField>
    <pivotField axis="axisRow" showAll="0">
      <items count="6">
        <item x="0"/>
        <item x="1"/>
        <item x="2"/>
        <item x="3"/>
        <item x="4"/>
        <item t="default"/>
      </items>
    </pivotField>
    <pivotField dataField="1" showAll="0"/>
    <pivotField showAll="0"/>
    <pivotField showAll="0"/>
    <pivotField numFmtId="14" showAll="0">
      <items count="15">
        <item x="0"/>
        <item x="1"/>
        <item x="2"/>
        <item x="3"/>
        <item x="4"/>
        <item x="5"/>
        <item x="6"/>
        <item x="7"/>
        <item x="8"/>
        <item x="9"/>
        <item x="10"/>
        <item x="11"/>
        <item x="12"/>
        <item x="13"/>
        <item t="default"/>
      </items>
    </pivotField>
    <pivotField showAll="0"/>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Items count="1">
    <i/>
  </colItems>
  <dataFields count="1">
    <dataField name="Sum of Sales" fld="4" baseField="0" baseItem="0"/>
  </dataFields>
  <chartFormats count="7">
    <chartFormat chart="2"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3" count="1" selected="0">
            <x v="0"/>
          </reference>
        </references>
      </pivotArea>
    </chartFormat>
    <chartFormat chart="7" format="9">
      <pivotArea type="data" outline="0" fieldPosition="0">
        <references count="2">
          <reference field="4294967294" count="1" selected="0">
            <x v="0"/>
          </reference>
          <reference field="3" count="1" selected="0">
            <x v="1"/>
          </reference>
        </references>
      </pivotArea>
    </chartFormat>
    <chartFormat chart="7" format="10">
      <pivotArea type="data" outline="0" fieldPosition="0">
        <references count="2">
          <reference field="4294967294" count="1" selected="0">
            <x v="0"/>
          </reference>
          <reference field="3" count="1" selected="0">
            <x v="2"/>
          </reference>
        </references>
      </pivotArea>
    </chartFormat>
    <chartFormat chart="7" format="11">
      <pivotArea type="data" outline="0" fieldPosition="0">
        <references count="2">
          <reference field="4294967294" count="1" selected="0">
            <x v="0"/>
          </reference>
          <reference field="3" count="1" selected="0">
            <x v="3"/>
          </reference>
        </references>
      </pivotArea>
    </chartFormat>
    <chartFormat chart="7"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944217-4E94-4F00-9006-055FF874F97F}" name="PivotTable2"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B9" firstHeaderRow="1" firstDataRow="1" firstDataCol="1"/>
  <pivotFields count="11">
    <pivotField showAll="0"/>
    <pivotField showAll="0"/>
    <pivotField axis="axisRow" showAll="0">
      <items count="6">
        <item x="4"/>
        <item x="1"/>
        <item x="3"/>
        <item x="2"/>
        <item x="0"/>
        <item t="default"/>
      </items>
    </pivotField>
    <pivotField showAll="0">
      <items count="6">
        <item x="0"/>
        <item x="1"/>
        <item x="2"/>
        <item x="3"/>
        <item x="4"/>
        <item t="default"/>
      </items>
    </pivotField>
    <pivotField showAll="0"/>
    <pivotField dataField="1" showAll="0"/>
    <pivotField showAll="0"/>
    <pivotField numFmtId="14" showAll="0">
      <items count="15">
        <item x="0"/>
        <item x="1"/>
        <item x="2"/>
        <item x="3"/>
        <item x="4"/>
        <item x="5"/>
        <item x="6"/>
        <item x="7"/>
        <item x="8"/>
        <item x="9"/>
        <item x="10"/>
        <item x="11"/>
        <item x="12"/>
        <item x="13"/>
        <item t="default"/>
      </items>
    </pivotField>
    <pivotField showAll="0"/>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Items count="1">
    <i/>
  </colItems>
  <dataFields count="1">
    <dataField name="Sum of Quantity" fld="5" baseField="0" baseItem="0"/>
  </dataFields>
  <chartFormats count="2">
    <chartFormat chart="1"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1A294A-ECAF-431F-BD90-59596498F308}" name="PivotTable4"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B9" firstHeaderRow="1" firstDataRow="1" firstDataCol="1"/>
  <pivotFields count="11">
    <pivotField showAll="0"/>
    <pivotField axis="axisRow" showAll="0" measureFilter="1">
      <items count="28">
        <item x="26"/>
        <item x="18"/>
        <item x="19"/>
        <item x="10"/>
        <item x="8"/>
        <item x="9"/>
        <item x="24"/>
        <item x="21"/>
        <item x="0"/>
        <item x="2"/>
        <item x="3"/>
        <item x="16"/>
        <item x="15"/>
        <item x="22"/>
        <item x="7"/>
        <item x="25"/>
        <item x="17"/>
        <item x="5"/>
        <item x="14"/>
        <item x="12"/>
        <item x="6"/>
        <item x="13"/>
        <item x="20"/>
        <item x="4"/>
        <item x="1"/>
        <item x="11"/>
        <item x="23"/>
        <item t="default"/>
      </items>
    </pivotField>
    <pivotField showAll="0">
      <items count="6">
        <item x="4"/>
        <item x="1"/>
        <item x="3"/>
        <item x="2"/>
        <item x="0"/>
        <item t="default"/>
      </items>
    </pivotField>
    <pivotField showAll="0">
      <items count="6">
        <item x="0"/>
        <item x="1"/>
        <item x="2"/>
        <item x="3"/>
        <item x="4"/>
        <item t="default"/>
      </items>
    </pivotField>
    <pivotField dataField="1" showAll="0">
      <items count="201">
        <item x="129"/>
        <item x="148"/>
        <item x="145"/>
        <item x="156"/>
        <item x="143"/>
        <item x="21"/>
        <item x="182"/>
        <item x="188"/>
        <item x="35"/>
        <item x="61"/>
        <item x="180"/>
        <item x="8"/>
        <item x="137"/>
        <item x="77"/>
        <item x="14"/>
        <item x="72"/>
        <item x="197"/>
        <item x="42"/>
        <item x="168"/>
        <item x="39"/>
        <item x="162"/>
        <item x="100"/>
        <item x="70"/>
        <item x="17"/>
        <item x="161"/>
        <item x="19"/>
        <item x="114"/>
        <item x="147"/>
        <item x="26"/>
        <item x="80"/>
        <item x="187"/>
        <item x="115"/>
        <item x="186"/>
        <item x="111"/>
        <item x="173"/>
        <item x="23"/>
        <item x="125"/>
        <item x="179"/>
        <item x="2"/>
        <item x="123"/>
        <item x="91"/>
        <item x="108"/>
        <item x="9"/>
        <item x="196"/>
        <item x="57"/>
        <item x="166"/>
        <item x="22"/>
        <item x="150"/>
        <item x="191"/>
        <item x="3"/>
        <item x="190"/>
        <item x="113"/>
        <item x="38"/>
        <item x="49"/>
        <item x="82"/>
        <item x="29"/>
        <item x="73"/>
        <item x="69"/>
        <item x="138"/>
        <item x="54"/>
        <item x="136"/>
        <item x="13"/>
        <item x="98"/>
        <item x="176"/>
        <item x="165"/>
        <item x="135"/>
        <item x="43"/>
        <item x="36"/>
        <item x="170"/>
        <item x="4"/>
        <item x="32"/>
        <item x="132"/>
        <item x="45"/>
        <item x="152"/>
        <item x="183"/>
        <item x="151"/>
        <item x="86"/>
        <item x="92"/>
        <item x="66"/>
        <item x="16"/>
        <item x="149"/>
        <item x="134"/>
        <item x="99"/>
        <item x="95"/>
        <item x="55"/>
        <item x="128"/>
        <item x="103"/>
        <item x="24"/>
        <item x="199"/>
        <item x="62"/>
        <item x="194"/>
        <item x="27"/>
        <item x="53"/>
        <item x="20"/>
        <item x="119"/>
        <item x="105"/>
        <item x="5"/>
        <item x="94"/>
        <item x="33"/>
        <item x="56"/>
        <item x="110"/>
        <item x="71"/>
        <item x="28"/>
        <item x="184"/>
        <item x="101"/>
        <item x="198"/>
        <item x="47"/>
        <item x="63"/>
        <item x="118"/>
        <item x="102"/>
        <item x="117"/>
        <item x="175"/>
        <item x="122"/>
        <item x="68"/>
        <item x="50"/>
        <item x="177"/>
        <item x="31"/>
        <item x="41"/>
        <item x="171"/>
        <item x="65"/>
        <item x="0"/>
        <item x="154"/>
        <item x="133"/>
        <item x="181"/>
        <item x="83"/>
        <item x="7"/>
        <item x="157"/>
        <item x="120"/>
        <item x="106"/>
        <item x="52"/>
        <item x="193"/>
        <item x="164"/>
        <item x="178"/>
        <item x="64"/>
        <item x="1"/>
        <item x="90"/>
        <item x="163"/>
        <item x="78"/>
        <item x="169"/>
        <item x="159"/>
        <item x="81"/>
        <item x="131"/>
        <item x="40"/>
        <item x="88"/>
        <item x="93"/>
        <item x="142"/>
        <item x="121"/>
        <item x="84"/>
        <item x="153"/>
        <item x="96"/>
        <item x="25"/>
        <item x="189"/>
        <item x="48"/>
        <item x="172"/>
        <item x="12"/>
        <item x="112"/>
        <item x="34"/>
        <item x="97"/>
        <item x="130"/>
        <item x="75"/>
        <item x="46"/>
        <item x="51"/>
        <item x="44"/>
        <item x="141"/>
        <item x="58"/>
        <item x="116"/>
        <item x="158"/>
        <item x="76"/>
        <item x="89"/>
        <item x="124"/>
        <item x="104"/>
        <item x="79"/>
        <item x="109"/>
        <item x="167"/>
        <item x="6"/>
        <item x="85"/>
        <item x="11"/>
        <item x="127"/>
        <item x="146"/>
        <item x="59"/>
        <item x="67"/>
        <item x="60"/>
        <item x="37"/>
        <item x="126"/>
        <item x="139"/>
        <item x="87"/>
        <item x="30"/>
        <item x="192"/>
        <item x="195"/>
        <item x="140"/>
        <item x="185"/>
        <item x="15"/>
        <item x="18"/>
        <item x="74"/>
        <item x="10"/>
        <item x="144"/>
        <item x="174"/>
        <item x="160"/>
        <item x="155"/>
        <item x="107"/>
        <item t="default"/>
      </items>
    </pivotField>
    <pivotField showAll="0"/>
    <pivotField showAll="0"/>
    <pivotField numFmtId="14" showAll="0"/>
    <pivotField showAll="0"/>
    <pivotField showAll="0" defaultSubtotal="0">
      <items count="6">
        <item x="0"/>
        <item x="1"/>
        <item x="2"/>
        <item x="3"/>
        <item x="4"/>
        <item x="5"/>
      </items>
    </pivotField>
    <pivotField showAll="0" defaultSubtotal="0"/>
  </pivotFields>
  <rowFields count="1">
    <field x="1"/>
  </rowFields>
  <rowItems count="6">
    <i>
      <x v="1"/>
    </i>
    <i>
      <x v="5"/>
    </i>
    <i>
      <x v="10"/>
    </i>
    <i>
      <x v="17"/>
    </i>
    <i>
      <x v="20"/>
    </i>
    <i t="grand">
      <x/>
    </i>
  </rowItems>
  <colItems count="1">
    <i/>
  </colItems>
  <dataFields count="1">
    <dataField name="Sum of Sales" fld="4" baseField="0" baseItem="0"/>
  </dataField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1"/>
          </reference>
        </references>
      </pivotArea>
    </chartFormat>
    <chartFormat chart="1" format="2">
      <pivotArea type="data" outline="0" fieldPosition="0">
        <references count="2">
          <reference field="4294967294" count="1" selected="0">
            <x v="0"/>
          </reference>
          <reference field="1" count="1" selected="0">
            <x v="5"/>
          </reference>
        </references>
      </pivotArea>
    </chartFormat>
    <chartFormat chart="1" format="3">
      <pivotArea type="data" outline="0" fieldPosition="0">
        <references count="2">
          <reference field="4294967294" count="1" selected="0">
            <x v="0"/>
          </reference>
          <reference field="1" count="1" selected="0">
            <x v="10"/>
          </reference>
        </references>
      </pivotArea>
    </chartFormat>
    <chartFormat chart="1" format="4">
      <pivotArea type="data" outline="0" fieldPosition="0">
        <references count="2">
          <reference field="4294967294" count="1" selected="0">
            <x v="0"/>
          </reference>
          <reference field="1" count="1" selected="0">
            <x v="17"/>
          </reference>
        </references>
      </pivotArea>
    </chartFormat>
    <chartFormat chart="1" format="5">
      <pivotArea type="data" outline="0" fieldPosition="0">
        <references count="2">
          <reference field="4294967294" count="1" selected="0">
            <x v="0"/>
          </reference>
          <reference field="1" count="1" selected="0">
            <x v="20"/>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1" count="1" selected="0">
            <x v="1"/>
          </reference>
        </references>
      </pivotArea>
    </chartFormat>
    <chartFormat chart="6" format="14">
      <pivotArea type="data" outline="0" fieldPosition="0">
        <references count="2">
          <reference field="4294967294" count="1" selected="0">
            <x v="0"/>
          </reference>
          <reference field="1" count="1" selected="0">
            <x v="5"/>
          </reference>
        </references>
      </pivotArea>
    </chartFormat>
    <chartFormat chart="6" format="15">
      <pivotArea type="data" outline="0" fieldPosition="0">
        <references count="2">
          <reference field="4294967294" count="1" selected="0">
            <x v="0"/>
          </reference>
          <reference field="1" count="1" selected="0">
            <x v="10"/>
          </reference>
        </references>
      </pivotArea>
    </chartFormat>
    <chartFormat chart="6" format="16">
      <pivotArea type="data" outline="0" fieldPosition="0">
        <references count="2">
          <reference field="4294967294" count="1" selected="0">
            <x v="0"/>
          </reference>
          <reference field="1" count="1" selected="0">
            <x v="17"/>
          </reference>
        </references>
      </pivotArea>
    </chartFormat>
    <chartFormat chart="6" format="17">
      <pivotArea type="data" outline="0" fieldPosition="0">
        <references count="2">
          <reference field="4294967294" count="1" selected="0">
            <x v="0"/>
          </reference>
          <reference field="1" count="1" selected="0">
            <x v="2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2A44A1-E9AE-4D12-A664-CA9918B38794}" name="PivotTable3"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19" firstHeaderRow="1" firstDataRow="1" firstDataCol="1"/>
  <pivotFields count="11">
    <pivotField showAll="0"/>
    <pivotField showAll="0"/>
    <pivotField showAll="0">
      <items count="6">
        <item x="4"/>
        <item x="1"/>
        <item x="3"/>
        <item x="2"/>
        <item x="0"/>
        <item t="default"/>
      </items>
    </pivotField>
    <pivotField showAll="0">
      <items count="6">
        <item x="0"/>
        <item x="1"/>
        <item x="2"/>
        <item x="3"/>
        <item x="4"/>
        <item t="default"/>
      </items>
    </pivotField>
    <pivotField showAll="0"/>
    <pivotField showAll="0"/>
    <pivotField showAll="0"/>
    <pivotField axis="axisRow" numFmtId="14" showAll="0">
      <items count="15">
        <item h="1" x="0"/>
        <item x="1"/>
        <item x="2"/>
        <item x="3"/>
        <item x="4"/>
        <item x="5"/>
        <item x="6"/>
        <item x="7"/>
        <item x="8"/>
        <item x="9"/>
        <item x="10"/>
        <item x="11"/>
        <item x="12"/>
        <item h="1" x="13"/>
        <item t="default"/>
      </items>
    </pivotField>
    <pivotField dataField="1" showAll="0"/>
    <pivotField showAll="0">
      <items count="7">
        <item sd="0" x="0"/>
        <item sd="0" x="1"/>
        <item sd="0" x="2"/>
        <item sd="0" x="3"/>
        <item sd="0" x="4"/>
        <item sd="0" x="5"/>
        <item t="default"/>
      </items>
    </pivotField>
    <pivotField axis="axisRow" showAll="0">
      <items count="5">
        <item h="1" sd="0" x="0"/>
        <item x="1"/>
        <item x="2"/>
        <item h="1" sd="0" x="3"/>
        <item t="default"/>
      </items>
    </pivotField>
  </pivotFields>
  <rowFields count="2">
    <field x="10"/>
    <field x="7"/>
  </rowFields>
  <rowItems count="16">
    <i>
      <x v="1"/>
    </i>
    <i r="1">
      <x v="4"/>
    </i>
    <i r="1">
      <x v="5"/>
    </i>
    <i r="1">
      <x v="6"/>
    </i>
    <i r="1">
      <x v="7"/>
    </i>
    <i r="1">
      <x v="8"/>
    </i>
    <i r="1">
      <x v="9"/>
    </i>
    <i r="1">
      <x v="10"/>
    </i>
    <i r="1">
      <x v="11"/>
    </i>
    <i r="1">
      <x v="12"/>
    </i>
    <i>
      <x v="2"/>
    </i>
    <i r="1">
      <x v="1"/>
    </i>
    <i r="1">
      <x v="2"/>
    </i>
    <i r="1">
      <x v="3"/>
    </i>
    <i r="1">
      <x v="4"/>
    </i>
    <i t="grand">
      <x/>
    </i>
  </rowItems>
  <colItems count="1">
    <i/>
  </colItems>
  <dataFields count="1">
    <dataField name="Sum of Profit" fld="8" baseField="0" baseItem="0"/>
  </dataFields>
  <chartFormats count="2">
    <chartFormat chart="2"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021BF7-4885-440E-B4FA-1B9831A547E2}"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M7:N21" firstHeaderRow="1" firstDataRow="1" firstDataCol="1"/>
  <pivotFields count="10">
    <pivotField showAll="0"/>
    <pivotField showAll="0"/>
    <pivotField showAll="0"/>
    <pivotField showAll="0"/>
    <pivotField dataField="1" showAll="0"/>
    <pivotField showAll="0"/>
    <pivotField showAll="0"/>
    <pivotField showAll="0"/>
    <pivotField showAll="0"/>
    <pivotField axis="axisRow" showAll="0">
      <items count="15">
        <item x="0"/>
        <item x="12"/>
        <item x="4"/>
        <item x="8"/>
        <item x="10"/>
        <item x="9"/>
        <item x="3"/>
        <item x="2"/>
        <item x="11"/>
        <item x="1"/>
        <item x="7"/>
        <item x="6"/>
        <item x="5"/>
        <item h="1" x="13"/>
        <item t="default"/>
      </items>
    </pivotField>
  </pivotFields>
  <rowFields count="1">
    <field x="9"/>
  </rowFields>
  <rowItems count="14">
    <i>
      <x/>
    </i>
    <i>
      <x v="1"/>
    </i>
    <i>
      <x v="2"/>
    </i>
    <i>
      <x v="3"/>
    </i>
    <i>
      <x v="4"/>
    </i>
    <i>
      <x v="5"/>
    </i>
    <i>
      <x v="6"/>
    </i>
    <i>
      <x v="7"/>
    </i>
    <i>
      <x v="8"/>
    </i>
    <i>
      <x v="9"/>
    </i>
    <i>
      <x v="10"/>
    </i>
    <i>
      <x v="11"/>
    </i>
    <i>
      <x v="12"/>
    </i>
    <i t="grand">
      <x/>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 xr10:uid="{26FE550C-B95C-40B6-9479-47BEB89D9CA0}" sourceName="Quarters">
  <pivotTables>
    <pivotTable tabId="23" name="PivotTable3"/>
    <pivotTable tabId="22" name="PivotTable2"/>
    <pivotTable tabId="21" name="PivotTable1"/>
    <pivotTable tabId="25" name="PivotTable4"/>
  </pivotTables>
  <data>
    <tabular pivotCacheId="701152986">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B187273-B0C4-47BF-BEC8-F114D1F58413}" sourceName="Region">
  <pivotTables>
    <pivotTable tabId="22" name="PivotTable2"/>
    <pivotTable tabId="23" name="PivotTable3"/>
    <pivotTable tabId="21" name="PivotTable1"/>
    <pivotTable tabId="25" name="PivotTable4"/>
  </pivotTables>
  <data>
    <tabular pivotCacheId="701152986">
      <items count="5">
        <i x="4" s="1"/>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E7EB51C-51F2-4655-BF0C-42EFE4DA66AB}" sourceName="Product_Category">
  <pivotTables>
    <pivotTable tabId="21" name="PivotTable1"/>
    <pivotTable tabId="22" name="PivotTable2"/>
    <pivotTable tabId="23" name="PivotTable3"/>
    <pivotTable tabId="25" name="PivotTable4"/>
  </pivotTables>
  <data>
    <tabular pivotCacheId="701152986">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8FCA0548-56DC-422A-B1CE-EF809BE0CC15}" cache="Slicer_Product_Category" caption="Product_Category" style="SlicerStyleOther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D2DE8D3-2515-4E4F-8313-6FA952D8E8E3}" cache="Slicer_Region" caption="Region" style="SlicerStyleOther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s" xr10:uid="{FCC7787B-7F67-4F80-B4FE-59A953AA7EE2}" cache="Slicer_Quarters" caption="Quarters" style="SlicerStyleOther2" rowHeight="241300"/>
  <slicer name="Quarters 3" xr10:uid="{FC866271-308C-4FDE-AFDB-B9E59309EF46}" cache="Slicer_Quarters" caption="Quarters" style="SlicerStyleOther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s 2" xr10:uid="{6B26967E-86C8-41AF-AA73-B244246517E0}" cache="Slicer_Quarters" caption="Quarters" style="SlicerStyleOther2" rowHeight="241300"/>
  <slicer name="Region 2" xr10:uid="{CCBFAC92-7FE3-4BC7-8E2F-93B9C3164749}" cache="Slicer_Region" caption="Region" style="SlicerStyleOther2" rowHeight="241300"/>
  <slicer name="Product_Category 2" xr10:uid="{87DDF0D9-2DB0-48FF-BFB7-01802A5F7B00}" cache="Slicer_Product_Category" caption="Product_Category" style="SlicerStyleOther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F3E645-5781-4165-8623-FBE669234F50}" name="Sales_Data1" displayName="Sales_Data1" ref="A1:J201" totalsRowShown="0" headerRowDxfId="31" dataDxfId="29" headerRowBorderDxfId="30" tableBorderDxfId="28" totalsRowBorderDxfId="27">
  <autoFilter ref="A1:J201" xr:uid="{A9F3E645-5781-4165-8623-FBE669234F50}"/>
  <tableColumns count="10">
    <tableColumn id="1" xr3:uid="{8CDDF4CB-48C9-4847-A6EA-98AD1AB723EF}" name="Customer_ID" dataDxfId="26"/>
    <tableColumn id="2" xr3:uid="{540063A8-99A9-4A51-87E2-CBBC3E30BDBD}" name="Customer_Name" dataDxfId="25"/>
    <tableColumn id="3" xr3:uid="{C944590A-08E9-4B1F-90BC-684D3076FD30}" name="Region" dataDxfId="24"/>
    <tableColumn id="4" xr3:uid="{A628EA77-CEFB-46EA-B43F-D2C0E1F3B446}" name="Product_Category" dataDxfId="23"/>
    <tableColumn id="5" xr3:uid="{F826A013-7745-4EF1-A4EC-865F09DCFBB9}" name="Sales" dataDxfId="22"/>
    <tableColumn id="6" xr3:uid="{90B4D189-284C-417B-9852-084D603A6B55}" name="Quantity" dataDxfId="21"/>
    <tableColumn id="7" xr3:uid="{634DBF22-9B48-4390-AE11-94D0ABC77B3B}" name="Discount" dataDxfId="20"/>
    <tableColumn id="8" xr3:uid="{7482BD46-8007-40F2-9B6B-05FE8E616891}" name="Order_Date" dataDxfId="19"/>
    <tableColumn id="9" xr3:uid="{1C93F704-F570-42FE-A65B-34B46D4F1B77}" name="Profit" dataDxfId="18"/>
    <tableColumn id="10" xr3:uid="{4E0F4859-86E1-4303-9E2C-6B606B13EB97}" name="Total Purchase" dataDxfId="17">
      <calculatedColumnFormula>Sales_Data1[[#This Row],[Sales]]*Sales_Data1[[#This Row],[Quantity]]*(1-Sales_Data1[[#This Row],[Discount]])</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703F0F0-2B60-4EBF-89A3-EDAD4A73416C}" name="Table4" displayName="Table4" ref="A1:J201" totalsRowShown="0">
  <autoFilter ref="A1:J201" xr:uid="{0703F0F0-2B60-4EBF-89A3-EDAD4A73416C}"/>
  <tableColumns count="10">
    <tableColumn id="1" xr3:uid="{F2E596F0-459E-4568-A77C-C6A3D87D9ECE}" name="Customer_ID"/>
    <tableColumn id="2" xr3:uid="{89CF9A14-9937-4E1A-9347-8339D5088C07}" name="Customer_Name"/>
    <tableColumn id="3" xr3:uid="{C243E689-3004-422F-9A9C-F960DBEE8399}" name="Region"/>
    <tableColumn id="4" xr3:uid="{AEA11EFE-08FB-4F2D-AA7D-7378837996D8}" name="Product_Category"/>
    <tableColumn id="5" xr3:uid="{9A9A0651-5362-45D6-B5CC-9090C8B93E97}" name="Sales"/>
    <tableColumn id="6" xr3:uid="{9FE24F2A-B99D-4ABF-A99F-BE8563CF0D4A}" name="Quantity"/>
    <tableColumn id="7" xr3:uid="{E30C65B1-D95F-4E50-9D48-56D24BEA2257}" name="Discount"/>
    <tableColumn id="8" xr3:uid="{A48AF833-5ED5-4D48-AFBD-760D0A165E61}" name="Order_Date" dataDxfId="0"/>
    <tableColumn id="9" xr3:uid="{DA89342B-CA21-4EA1-B3FF-30B5526C25BB}" name="Profit"/>
    <tableColumn id="10" xr3:uid="{0E08B64D-A598-4756-98C6-4D2CF9A68FE9}" name="Month"/>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CF6DFE-59FA-418A-A76F-5C79376BB08E}" name="Table1" displayName="Table1" ref="A1:J201" totalsRowShown="0" headerRowDxfId="16" dataDxfId="14" headerRowBorderDxfId="15" tableBorderDxfId="13">
  <autoFilter ref="A1:J201" xr:uid="{8BCF6DFE-59FA-418A-A76F-5C79376BB08E}">
    <filterColumn colId="9">
      <top10 val="10" filterVal="19442.73"/>
    </filterColumn>
  </autoFilter>
  <tableColumns count="10">
    <tableColumn id="1" xr3:uid="{ADB83A46-C8BC-454E-B41E-21DAD0A0C106}" name="Customer_ID" dataDxfId="12"/>
    <tableColumn id="2" xr3:uid="{84476086-E661-4376-9137-9821BF67BA96}" name="Customer_Name" dataDxfId="11"/>
    <tableColumn id="3" xr3:uid="{F0A6FE49-2AB5-4979-A12A-2DA11FAE2077}" name="Region" dataDxfId="10"/>
    <tableColumn id="4" xr3:uid="{F4CE7A88-E82B-494A-BBC4-3215AF090A4A}" name="Product_Category" dataDxfId="9"/>
    <tableColumn id="5" xr3:uid="{606DE8CF-EC97-4954-96DE-DEDF1CBE4F8D}" name="Sales" dataDxfId="8"/>
    <tableColumn id="6" xr3:uid="{CDBFA7E5-3682-4696-AB01-DDB3571FEE27}" name="Quantity" dataDxfId="7"/>
    <tableColumn id="7" xr3:uid="{B5055BA9-1996-4E85-8877-552537B8251D}" name="Discount" dataDxfId="6"/>
    <tableColumn id="8" xr3:uid="{C11C4717-DEC9-47BB-B371-D6E10A26FFC0}" name="Order_Date" dataDxfId="5"/>
    <tableColumn id="9" xr3:uid="{12CE83F0-1B32-4F56-9EAF-D63EA2FB61DC}" name="Profit" dataDxfId="4"/>
    <tableColumn id="10" xr3:uid="{403509B9-35C5-4349-ADB4-DD6AAD0D31DA}" name="Total Purchase" dataDxfId="3">
      <calculatedColumnFormula>Sales_Data1[[#This Row],[Sales]]*Sales_Data1[[#This Row],[Quantity]]*(1-Sales_Data1[[#This Row],[Discount]])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3889-5B81-49E7-8C01-6454F040CBE4}">
  <dimension ref="A1:I18"/>
  <sheetViews>
    <sheetView workbookViewId="0">
      <selection activeCell="E4" sqref="E3:E4"/>
    </sheetView>
  </sheetViews>
  <sheetFormatPr defaultRowHeight="14.5" x14ac:dyDescent="0.35"/>
  <sheetData>
    <row r="1" spans="1:9" x14ac:dyDescent="0.35">
      <c r="A1" t="s">
        <v>81</v>
      </c>
    </row>
    <row r="2" spans="1:9" ht="15" thickBot="1" x14ac:dyDescent="0.4"/>
    <row r="3" spans="1:9" x14ac:dyDescent="0.35">
      <c r="A3" s="32" t="s">
        <v>82</v>
      </c>
      <c r="B3" s="32"/>
    </row>
    <row r="4" spans="1:9" x14ac:dyDescent="0.35">
      <c r="A4" s="29" t="s">
        <v>83</v>
      </c>
      <c r="B4" s="29">
        <v>0.77340306414342619</v>
      </c>
    </row>
    <row r="5" spans="1:9" x14ac:dyDescent="0.35">
      <c r="A5" s="29" t="s">
        <v>84</v>
      </c>
      <c r="B5" s="29">
        <v>0.59815229962644056</v>
      </c>
    </row>
    <row r="6" spans="1:9" x14ac:dyDescent="0.35">
      <c r="A6" s="29" t="s">
        <v>85</v>
      </c>
      <c r="B6" s="29">
        <v>0.59612276578617007</v>
      </c>
    </row>
    <row r="7" spans="1:9" x14ac:dyDescent="0.35">
      <c r="A7" s="29" t="s">
        <v>86</v>
      </c>
      <c r="B7" s="29">
        <v>86.281230529665166</v>
      </c>
    </row>
    <row r="8" spans="1:9" ht="15" thickBot="1" x14ac:dyDescent="0.4">
      <c r="A8" s="30" t="s">
        <v>87</v>
      </c>
      <c r="B8" s="30">
        <v>200</v>
      </c>
    </row>
    <row r="10" spans="1:9" ht="15" thickBot="1" x14ac:dyDescent="0.4">
      <c r="A10" t="s">
        <v>88</v>
      </c>
    </row>
    <row r="11" spans="1:9" x14ac:dyDescent="0.35">
      <c r="A11" s="31"/>
      <c r="B11" s="31" t="s">
        <v>93</v>
      </c>
      <c r="C11" s="31" t="s">
        <v>94</v>
      </c>
      <c r="D11" s="31" t="s">
        <v>95</v>
      </c>
      <c r="E11" s="31" t="s">
        <v>96</v>
      </c>
      <c r="F11" s="31" t="s">
        <v>97</v>
      </c>
    </row>
    <row r="12" spans="1:9" x14ac:dyDescent="0.35">
      <c r="A12" s="29" t="s">
        <v>89</v>
      </c>
      <c r="B12" s="29">
        <v>1</v>
      </c>
      <c r="C12" s="29">
        <v>2194058.1833402822</v>
      </c>
      <c r="D12" s="29">
        <v>2194058.1833402822</v>
      </c>
      <c r="E12" s="29">
        <v>294.72398427548114</v>
      </c>
      <c r="F12" s="29">
        <v>4.6269367558910499E-41</v>
      </c>
    </row>
    <row r="13" spans="1:9" x14ac:dyDescent="0.35">
      <c r="A13" s="29" t="s">
        <v>90</v>
      </c>
      <c r="B13" s="29">
        <v>198</v>
      </c>
      <c r="C13" s="29">
        <v>1474001.2468592182</v>
      </c>
      <c r="D13" s="29">
        <v>7444.4507417132236</v>
      </c>
      <c r="E13" s="29"/>
      <c r="F13" s="29"/>
    </row>
    <row r="14" spans="1:9" ht="15" thickBot="1" x14ac:dyDescent="0.4">
      <c r="A14" s="30" t="s">
        <v>91</v>
      </c>
      <c r="B14" s="30">
        <v>199</v>
      </c>
      <c r="C14" s="30">
        <v>3668059.4301995002</v>
      </c>
      <c r="D14" s="30"/>
      <c r="E14" s="30"/>
      <c r="F14" s="30"/>
    </row>
    <row r="15" spans="1:9" ht="15" thickBot="1" x14ac:dyDescent="0.4"/>
    <row r="16" spans="1:9" x14ac:dyDescent="0.35">
      <c r="A16" s="31"/>
      <c r="B16" s="31" t="s">
        <v>98</v>
      </c>
      <c r="C16" s="31" t="s">
        <v>86</v>
      </c>
      <c r="D16" s="31" t="s">
        <v>99</v>
      </c>
      <c r="E16" s="31" t="s">
        <v>100</v>
      </c>
      <c r="F16" s="31" t="s">
        <v>101</v>
      </c>
      <c r="G16" s="31" t="s">
        <v>102</v>
      </c>
      <c r="H16" s="31" t="s">
        <v>103</v>
      </c>
      <c r="I16" s="31" t="s">
        <v>104</v>
      </c>
    </row>
    <row r="17" spans="1:9" x14ac:dyDescent="0.35">
      <c r="A17" s="29" t="s">
        <v>92</v>
      </c>
      <c r="B17" s="29">
        <v>-1.0315504901911368</v>
      </c>
      <c r="C17" s="29">
        <v>20.860617005445505</v>
      </c>
      <c r="D17" s="29">
        <v>-4.9449663445805959E-2</v>
      </c>
      <c r="E17" s="29">
        <v>0.96061079696907459</v>
      </c>
      <c r="F17" s="29">
        <v>-42.169051823378965</v>
      </c>
      <c r="G17" s="29">
        <v>40.105950842996691</v>
      </c>
      <c r="H17" s="29">
        <v>-42.169051823378965</v>
      </c>
      <c r="I17" s="29">
        <v>40.105950842996691</v>
      </c>
    </row>
    <row r="18" spans="1:9" ht="15" thickBot="1" x14ac:dyDescent="0.4">
      <c r="A18" s="30" t="s">
        <v>105</v>
      </c>
      <c r="B18" s="30">
        <v>0.35085598819512254</v>
      </c>
      <c r="C18" s="30">
        <v>2.0437188630135626E-2</v>
      </c>
      <c r="D18" s="30">
        <v>17.167527028535048</v>
      </c>
      <c r="E18" s="30">
        <v>4.6269367558907868E-41</v>
      </c>
      <c r="F18" s="30">
        <v>0.31055349501865764</v>
      </c>
      <c r="G18" s="30">
        <v>0.39115848137158743</v>
      </c>
      <c r="H18" s="30">
        <v>0.31055349501865764</v>
      </c>
      <c r="I18" s="30">
        <v>0.39115848137158743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53A10-0062-417E-A9E4-27F39D28891A}">
  <dimension ref="A1:B15"/>
  <sheetViews>
    <sheetView workbookViewId="0">
      <selection activeCell="D4" sqref="D4"/>
    </sheetView>
  </sheetViews>
  <sheetFormatPr defaultRowHeight="14.5" x14ac:dyDescent="0.35"/>
  <cols>
    <col min="1" max="1" width="11.90625" customWidth="1"/>
    <col min="2" max="2" width="12.54296875" customWidth="1"/>
  </cols>
  <sheetData>
    <row r="1" spans="1:2" x14ac:dyDescent="0.35">
      <c r="A1" s="32" t="s">
        <v>4</v>
      </c>
      <c r="B1" s="32"/>
    </row>
    <row r="2" spans="1:2" x14ac:dyDescent="0.35">
      <c r="A2" s="29"/>
      <c r="B2" s="29"/>
    </row>
    <row r="3" spans="1:2" x14ac:dyDescent="0.35">
      <c r="A3" s="29" t="s">
        <v>106</v>
      </c>
      <c r="B3" s="29">
        <v>976.08879999999965</v>
      </c>
    </row>
    <row r="4" spans="1:2" x14ac:dyDescent="0.35">
      <c r="A4" s="29" t="s">
        <v>86</v>
      </c>
      <c r="B4" s="29">
        <v>21.161850448978406</v>
      </c>
    </row>
    <row r="5" spans="1:2" x14ac:dyDescent="0.35">
      <c r="A5" s="29" t="s">
        <v>107</v>
      </c>
      <c r="B5" s="29">
        <v>976.72</v>
      </c>
    </row>
    <row r="6" spans="1:2" x14ac:dyDescent="0.35">
      <c r="A6" s="29" t="s">
        <v>108</v>
      </c>
      <c r="B6" s="29" t="e">
        <v>#N/A</v>
      </c>
    </row>
    <row r="7" spans="1:2" x14ac:dyDescent="0.35">
      <c r="A7" s="29" t="s">
        <v>109</v>
      </c>
      <c r="B7" s="29">
        <v>299.27375909856431</v>
      </c>
    </row>
    <row r="8" spans="1:2" x14ac:dyDescent="0.35">
      <c r="A8" s="29" t="s">
        <v>110</v>
      </c>
      <c r="B8" s="29">
        <v>89564.782884985514</v>
      </c>
    </row>
    <row r="9" spans="1:2" x14ac:dyDescent="0.35">
      <c r="A9" s="29" t="s">
        <v>111</v>
      </c>
      <c r="B9" s="29">
        <v>-8.8595231919740502E-2</v>
      </c>
    </row>
    <row r="10" spans="1:2" x14ac:dyDescent="0.35">
      <c r="A10" s="29" t="s">
        <v>112</v>
      </c>
      <c r="B10" s="29">
        <v>0.14685796564193557</v>
      </c>
    </row>
    <row r="11" spans="1:2" x14ac:dyDescent="0.35">
      <c r="A11" s="29" t="s">
        <v>113</v>
      </c>
      <c r="B11" s="29">
        <v>1665.15</v>
      </c>
    </row>
    <row r="12" spans="1:2" x14ac:dyDescent="0.35">
      <c r="A12" s="29" t="s">
        <v>114</v>
      </c>
      <c r="B12" s="29">
        <v>258.51</v>
      </c>
    </row>
    <row r="13" spans="1:2" x14ac:dyDescent="0.35">
      <c r="A13" s="29" t="s">
        <v>115</v>
      </c>
      <c r="B13" s="29">
        <v>1923.66</v>
      </c>
    </row>
    <row r="14" spans="1:2" x14ac:dyDescent="0.35">
      <c r="A14" s="29" t="s">
        <v>116</v>
      </c>
      <c r="B14" s="29">
        <v>195217.75999999992</v>
      </c>
    </row>
    <row r="15" spans="1:2" ht="15" thickBot="1" x14ac:dyDescent="0.4">
      <c r="A15" s="30" t="s">
        <v>117</v>
      </c>
      <c r="B15" s="30">
        <v>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7D237-0A4F-453D-A5EC-E83CB25B246F}">
  <dimension ref="A1:Z1000"/>
  <sheetViews>
    <sheetView workbookViewId="0">
      <selection activeCell="J2" sqref="J2"/>
    </sheetView>
  </sheetViews>
  <sheetFormatPr defaultRowHeight="14.5" x14ac:dyDescent="0.35"/>
  <cols>
    <col min="1" max="1" width="13.81640625" customWidth="1"/>
    <col min="2" max="2" width="16.90625" customWidth="1"/>
    <col min="3" max="3" width="13.6328125" customWidth="1"/>
    <col min="4" max="4" width="17.90625" customWidth="1"/>
    <col min="5" max="9" width="13.6328125" customWidth="1"/>
    <col min="10" max="10" width="16.453125" customWidth="1"/>
  </cols>
  <sheetData>
    <row r="1" spans="1:26" ht="17" customHeight="1" thickBot="1" x14ac:dyDescent="0.4">
      <c r="A1" s="6" t="s">
        <v>0</v>
      </c>
      <c r="B1" s="7" t="s">
        <v>1</v>
      </c>
      <c r="C1" s="7" t="s">
        <v>2</v>
      </c>
      <c r="D1" s="7" t="s">
        <v>3</v>
      </c>
      <c r="E1" s="7" t="s">
        <v>4</v>
      </c>
      <c r="F1" s="7" t="s">
        <v>5</v>
      </c>
      <c r="G1" s="7" t="s">
        <v>6</v>
      </c>
      <c r="H1" s="7" t="s">
        <v>7</v>
      </c>
      <c r="I1" s="8" t="s">
        <v>8</v>
      </c>
      <c r="J1" s="7" t="s">
        <v>76</v>
      </c>
      <c r="K1" s="1"/>
      <c r="L1" s="1"/>
      <c r="M1" s="1"/>
      <c r="N1" s="1"/>
      <c r="O1" s="1"/>
      <c r="P1" s="1"/>
      <c r="Q1" s="1"/>
      <c r="R1" s="1"/>
      <c r="S1" s="1"/>
      <c r="T1" s="1"/>
      <c r="U1" s="1"/>
      <c r="V1" s="1"/>
      <c r="W1" s="1"/>
      <c r="X1" s="1"/>
      <c r="Y1" s="1"/>
      <c r="Z1" s="1"/>
    </row>
    <row r="2" spans="1:26" ht="17" customHeight="1" thickBot="1" x14ac:dyDescent="0.4">
      <c r="A2" s="4" t="s">
        <v>9</v>
      </c>
      <c r="B2" s="1" t="s">
        <v>10</v>
      </c>
      <c r="C2" s="1" t="s">
        <v>11</v>
      </c>
      <c r="D2" s="1" t="s">
        <v>12</v>
      </c>
      <c r="E2" s="2">
        <v>1036.0899999999999</v>
      </c>
      <c r="F2" s="2">
        <v>4</v>
      </c>
      <c r="G2" s="2">
        <v>0.2</v>
      </c>
      <c r="H2" s="3">
        <v>45392</v>
      </c>
      <c r="I2" s="5">
        <v>331.55</v>
      </c>
      <c r="J2" s="15">
        <f>Sales_Data1[[#This Row],[Sales]]*Sales_Data1[[#This Row],[Quantity]]*(1-Sales_Data1[[#This Row],[Discount]])</f>
        <v>3315.4879999999998</v>
      </c>
      <c r="K2" s="1"/>
      <c r="L2" s="1"/>
      <c r="M2" s="1"/>
      <c r="N2" s="1"/>
      <c r="O2" s="1"/>
      <c r="P2" s="1"/>
      <c r="Q2" s="1"/>
      <c r="R2" s="1"/>
      <c r="S2" s="1"/>
      <c r="T2" s="1"/>
      <c r="U2" s="1"/>
      <c r="V2" s="1"/>
      <c r="W2" s="1"/>
      <c r="X2" s="1"/>
      <c r="Y2" s="1"/>
      <c r="Z2" s="1"/>
    </row>
    <row r="3" spans="1:26" ht="17" customHeight="1" thickBot="1" x14ac:dyDescent="0.4">
      <c r="A3" s="4" t="s">
        <v>13</v>
      </c>
      <c r="B3" s="1" t="s">
        <v>14</v>
      </c>
      <c r="C3" s="1" t="s">
        <v>11</v>
      </c>
      <c r="D3" s="1" t="s">
        <v>15</v>
      </c>
      <c r="E3" s="2">
        <v>1101.28</v>
      </c>
      <c r="F3" s="2">
        <v>3</v>
      </c>
      <c r="G3" s="2">
        <v>0.2</v>
      </c>
      <c r="H3" s="3">
        <v>45393</v>
      </c>
      <c r="I3" s="5">
        <v>440.51</v>
      </c>
      <c r="J3" s="2">
        <f>Sales_Data1[[#This Row],[Sales]]*Sales_Data1[[#This Row],[Quantity]]*(1-Sales_Data1[[#This Row],[Discount]])</f>
        <v>2643.0720000000001</v>
      </c>
      <c r="K3" s="1"/>
      <c r="L3" s="1"/>
      <c r="M3" s="1"/>
      <c r="N3" s="1"/>
      <c r="O3" s="1"/>
      <c r="P3" s="1"/>
      <c r="Q3" s="1"/>
      <c r="R3" s="1"/>
      <c r="S3" s="1"/>
      <c r="T3" s="1"/>
      <c r="U3" s="1"/>
      <c r="V3" s="1"/>
      <c r="W3" s="1"/>
      <c r="X3" s="1"/>
      <c r="Y3" s="1"/>
      <c r="Z3" s="1"/>
    </row>
    <row r="4" spans="1:26" ht="17" customHeight="1" thickBot="1" x14ac:dyDescent="0.4">
      <c r="A4" s="4" t="s">
        <v>16</v>
      </c>
      <c r="B4" s="1" t="s">
        <v>17</v>
      </c>
      <c r="C4" s="1" t="s">
        <v>18</v>
      </c>
      <c r="D4" s="1" t="s">
        <v>12</v>
      </c>
      <c r="E4" s="2">
        <v>713.34</v>
      </c>
      <c r="F4" s="2">
        <v>17</v>
      </c>
      <c r="G4" s="2">
        <v>0</v>
      </c>
      <c r="H4" s="3">
        <v>45396</v>
      </c>
      <c r="I4" s="5">
        <v>285.33999999999997</v>
      </c>
      <c r="J4" s="2">
        <f>Sales_Data1[[#This Row],[Sales]]*Sales_Data1[[#This Row],[Quantity]]*(1-Sales_Data1[[#This Row],[Discount]])</f>
        <v>12126.78</v>
      </c>
      <c r="K4" s="1"/>
      <c r="L4" s="1"/>
      <c r="M4" s="1"/>
      <c r="N4" s="1"/>
      <c r="O4" s="1"/>
      <c r="P4" s="1"/>
      <c r="Q4" s="1"/>
      <c r="R4" s="1"/>
      <c r="S4" s="1"/>
      <c r="T4" s="1"/>
      <c r="U4" s="1"/>
      <c r="V4" s="1"/>
      <c r="W4" s="1"/>
      <c r="X4" s="1"/>
      <c r="Y4" s="1"/>
      <c r="Z4" s="1"/>
    </row>
    <row r="5" spans="1:26" ht="17" customHeight="1" thickBot="1" x14ac:dyDescent="0.4">
      <c r="A5" s="4" t="s">
        <v>19</v>
      </c>
      <c r="B5" s="1" t="s">
        <v>14</v>
      </c>
      <c r="C5" s="1" t="s">
        <v>20</v>
      </c>
      <c r="D5" s="1" t="s">
        <v>21</v>
      </c>
      <c r="E5" s="2">
        <v>760.93</v>
      </c>
      <c r="F5" s="2">
        <v>4</v>
      </c>
      <c r="G5" s="2">
        <v>0.15</v>
      </c>
      <c r="H5" s="3">
        <v>45396</v>
      </c>
      <c r="I5" s="5">
        <v>161.69999999999999</v>
      </c>
      <c r="J5" s="2">
        <f>Sales_Data1[[#This Row],[Sales]]*Sales_Data1[[#This Row],[Quantity]]*(1-Sales_Data1[[#This Row],[Discount]])</f>
        <v>2587.1619999999998</v>
      </c>
      <c r="K5" s="1"/>
      <c r="L5" s="1"/>
      <c r="M5" s="1"/>
      <c r="N5" s="1"/>
      <c r="O5" s="1"/>
      <c r="P5" s="1"/>
      <c r="Q5" s="1"/>
      <c r="R5" s="1"/>
      <c r="S5" s="1"/>
      <c r="T5" s="1"/>
      <c r="U5" s="1"/>
      <c r="V5" s="1"/>
      <c r="W5" s="1"/>
      <c r="X5" s="1"/>
      <c r="Y5" s="1"/>
      <c r="Z5" s="1"/>
    </row>
    <row r="6" spans="1:26" ht="17" customHeight="1" thickBot="1" x14ac:dyDescent="0.4">
      <c r="A6" s="4" t="s">
        <v>22</v>
      </c>
      <c r="B6" s="1" t="s">
        <v>23</v>
      </c>
      <c r="C6" s="1" t="s">
        <v>24</v>
      </c>
      <c r="D6" s="1" t="s">
        <v>12</v>
      </c>
      <c r="E6" s="2">
        <v>847</v>
      </c>
      <c r="F6" s="2">
        <v>12</v>
      </c>
      <c r="G6" s="2">
        <v>0.2</v>
      </c>
      <c r="H6" s="3">
        <v>45397</v>
      </c>
      <c r="I6" s="5">
        <v>271.04000000000002</v>
      </c>
      <c r="J6" s="2">
        <f>Sales_Data1[[#This Row],[Sales]]*Sales_Data1[[#This Row],[Quantity]]*(1-Sales_Data1[[#This Row],[Discount]])</f>
        <v>8131.2000000000007</v>
      </c>
      <c r="K6" s="1"/>
      <c r="L6" s="1"/>
      <c r="M6" s="1"/>
      <c r="N6" s="1"/>
      <c r="O6" s="1"/>
      <c r="P6" s="1"/>
      <c r="Q6" s="1"/>
      <c r="R6" s="1"/>
      <c r="S6" s="1"/>
      <c r="T6" s="1"/>
      <c r="U6" s="1"/>
      <c r="V6" s="1"/>
      <c r="W6" s="1"/>
      <c r="X6" s="1"/>
      <c r="Y6" s="1"/>
      <c r="Z6" s="1"/>
    </row>
    <row r="7" spans="1:26" ht="17" customHeight="1" thickBot="1" x14ac:dyDescent="0.4">
      <c r="A7" s="4" t="s">
        <v>25</v>
      </c>
      <c r="B7" s="1" t="s">
        <v>26</v>
      </c>
      <c r="C7" s="1" t="s">
        <v>24</v>
      </c>
      <c r="D7" s="1" t="s">
        <v>27</v>
      </c>
      <c r="E7" s="2">
        <v>965.64</v>
      </c>
      <c r="F7" s="2">
        <v>8</v>
      </c>
      <c r="G7" s="2">
        <v>0.1</v>
      </c>
      <c r="H7" s="3">
        <v>45398</v>
      </c>
      <c r="I7" s="5">
        <v>304.18</v>
      </c>
      <c r="J7" s="2">
        <f>Sales_Data1[[#This Row],[Sales]]*Sales_Data1[[#This Row],[Quantity]]*(1-Sales_Data1[[#This Row],[Discount]])</f>
        <v>6952.6080000000002</v>
      </c>
      <c r="K7" s="1"/>
      <c r="L7" s="1"/>
      <c r="M7" s="1"/>
      <c r="N7" s="1"/>
      <c r="O7" s="1"/>
      <c r="P7" s="1"/>
      <c r="Q7" s="1"/>
      <c r="R7" s="1"/>
      <c r="S7" s="1"/>
      <c r="T7" s="1"/>
      <c r="U7" s="1"/>
      <c r="V7" s="1"/>
      <c r="W7" s="1"/>
      <c r="X7" s="1"/>
      <c r="Y7" s="1"/>
      <c r="Z7" s="1"/>
    </row>
    <row r="8" spans="1:26" ht="17" customHeight="1" thickBot="1" x14ac:dyDescent="0.4">
      <c r="A8" s="4" t="s">
        <v>28</v>
      </c>
      <c r="B8" s="1" t="s">
        <v>29</v>
      </c>
      <c r="C8" s="1" t="s">
        <v>11</v>
      </c>
      <c r="D8" s="1" t="s">
        <v>21</v>
      </c>
      <c r="E8" s="2">
        <v>1317.53</v>
      </c>
      <c r="F8" s="2">
        <v>12</v>
      </c>
      <c r="G8" s="2">
        <v>0.05</v>
      </c>
      <c r="H8" s="3">
        <v>45398</v>
      </c>
      <c r="I8" s="5">
        <v>312.91000000000003</v>
      </c>
      <c r="J8" s="2">
        <f>Sales_Data1[[#This Row],[Sales]]*Sales_Data1[[#This Row],[Quantity]]*(1-Sales_Data1[[#This Row],[Discount]])</f>
        <v>15019.842000000001</v>
      </c>
      <c r="K8" s="1"/>
      <c r="L8" s="1"/>
      <c r="M8" s="1"/>
      <c r="N8" s="1"/>
      <c r="O8" s="1"/>
      <c r="P8" s="1"/>
      <c r="Q8" s="1"/>
      <c r="R8" s="1"/>
      <c r="S8" s="1"/>
      <c r="T8" s="1"/>
      <c r="U8" s="1"/>
      <c r="V8" s="1"/>
      <c r="W8" s="1"/>
      <c r="X8" s="1"/>
      <c r="Y8" s="1"/>
      <c r="Z8" s="1"/>
    </row>
    <row r="9" spans="1:26" ht="17" customHeight="1" thickBot="1" x14ac:dyDescent="0.4">
      <c r="A9" s="4" t="s">
        <v>30</v>
      </c>
      <c r="B9" s="1" t="s">
        <v>31</v>
      </c>
      <c r="C9" s="1" t="s">
        <v>18</v>
      </c>
      <c r="D9" s="1" t="s">
        <v>27</v>
      </c>
      <c r="E9" s="2">
        <v>1074.47</v>
      </c>
      <c r="F9" s="2">
        <v>6</v>
      </c>
      <c r="G9" s="2">
        <v>0.2</v>
      </c>
      <c r="H9" s="3">
        <v>45401</v>
      </c>
      <c r="I9" s="5">
        <v>300.85000000000002</v>
      </c>
      <c r="J9" s="2">
        <f>Sales_Data1[[#This Row],[Sales]]*Sales_Data1[[#This Row],[Quantity]]*(1-Sales_Data1[[#This Row],[Discount]])</f>
        <v>5157.4560000000001</v>
      </c>
      <c r="K9" s="1"/>
      <c r="L9" s="1"/>
      <c r="M9" s="1"/>
      <c r="N9" s="1"/>
      <c r="O9" s="1"/>
      <c r="P9" s="1"/>
      <c r="Q9" s="1"/>
      <c r="R9" s="1"/>
      <c r="S9" s="1"/>
      <c r="T9" s="1"/>
      <c r="U9" s="1"/>
      <c r="V9" s="1"/>
      <c r="W9" s="1"/>
      <c r="X9" s="1"/>
      <c r="Y9" s="1"/>
      <c r="Z9" s="1"/>
    </row>
    <row r="10" spans="1:26" ht="17" customHeight="1" thickBot="1" x14ac:dyDescent="0.4">
      <c r="A10" s="4" t="s">
        <v>32</v>
      </c>
      <c r="B10" s="1" t="s">
        <v>33</v>
      </c>
      <c r="C10" s="1" t="s">
        <v>34</v>
      </c>
      <c r="D10" s="1" t="s">
        <v>12</v>
      </c>
      <c r="E10" s="2">
        <v>501.54</v>
      </c>
      <c r="F10" s="2">
        <v>11</v>
      </c>
      <c r="G10" s="2">
        <v>0.05</v>
      </c>
      <c r="H10" s="3">
        <v>45401</v>
      </c>
      <c r="I10" s="5">
        <v>190.59</v>
      </c>
      <c r="J10" s="2">
        <f>Sales_Data1[[#This Row],[Sales]]*Sales_Data1[[#This Row],[Quantity]]*(1-Sales_Data1[[#This Row],[Discount]])</f>
        <v>5241.0929999999998</v>
      </c>
      <c r="K10" s="1"/>
      <c r="L10" s="1"/>
      <c r="M10" s="1"/>
      <c r="N10" s="1"/>
      <c r="O10" s="1"/>
      <c r="P10" s="1"/>
      <c r="Q10" s="1"/>
      <c r="R10" s="1"/>
      <c r="S10" s="1"/>
      <c r="T10" s="1"/>
      <c r="U10" s="1"/>
      <c r="V10" s="1"/>
      <c r="W10" s="1"/>
      <c r="X10" s="1"/>
      <c r="Y10" s="1"/>
      <c r="Z10" s="1"/>
    </row>
    <row r="11" spans="1:26" ht="17" customHeight="1" thickBot="1" x14ac:dyDescent="0.4">
      <c r="A11" s="4" t="s">
        <v>35</v>
      </c>
      <c r="B11" s="1" t="s">
        <v>36</v>
      </c>
      <c r="C11" s="1" t="s">
        <v>34</v>
      </c>
      <c r="D11" s="1" t="s">
        <v>15</v>
      </c>
      <c r="E11" s="2">
        <v>737.31</v>
      </c>
      <c r="F11" s="2">
        <v>2</v>
      </c>
      <c r="G11" s="2">
        <v>0.05</v>
      </c>
      <c r="H11" s="3">
        <v>45401</v>
      </c>
      <c r="I11" s="5">
        <v>350.22</v>
      </c>
      <c r="J11" s="2">
        <f>Sales_Data1[[#This Row],[Sales]]*Sales_Data1[[#This Row],[Quantity]]*(1-Sales_Data1[[#This Row],[Discount]])</f>
        <v>1400.8889999999999</v>
      </c>
      <c r="K11" s="1"/>
      <c r="L11" s="1"/>
      <c r="M11" s="1"/>
      <c r="N11" s="1"/>
      <c r="O11" s="1"/>
      <c r="P11" s="1"/>
      <c r="Q11" s="1"/>
      <c r="R11" s="1"/>
      <c r="S11" s="1"/>
      <c r="T11" s="1"/>
      <c r="U11" s="1"/>
      <c r="V11" s="1"/>
      <c r="W11" s="1"/>
      <c r="X11" s="1"/>
      <c r="Y11" s="1"/>
      <c r="Z11" s="1"/>
    </row>
    <row r="12" spans="1:26" ht="17" customHeight="1" thickBot="1" x14ac:dyDescent="0.4">
      <c r="A12" s="4" t="s">
        <v>37</v>
      </c>
      <c r="B12" s="1" t="s">
        <v>38</v>
      </c>
      <c r="C12" s="1" t="s">
        <v>11</v>
      </c>
      <c r="D12" s="1" t="s">
        <v>39</v>
      </c>
      <c r="E12" s="2">
        <v>1572.82</v>
      </c>
      <c r="F12" s="2">
        <v>6</v>
      </c>
      <c r="G12" s="2">
        <v>0.05</v>
      </c>
      <c r="H12" s="3">
        <v>45402</v>
      </c>
      <c r="I12" s="5">
        <v>672.38</v>
      </c>
      <c r="J12" s="2">
        <f>Sales_Data1[[#This Row],[Sales]]*Sales_Data1[[#This Row],[Quantity]]*(1-Sales_Data1[[#This Row],[Discount]])</f>
        <v>8965.0740000000005</v>
      </c>
      <c r="K12" s="1"/>
      <c r="L12" s="1"/>
      <c r="M12" s="1"/>
      <c r="N12" s="1"/>
      <c r="O12" s="1"/>
      <c r="P12" s="1"/>
      <c r="Q12" s="1"/>
      <c r="R12" s="1"/>
      <c r="S12" s="1"/>
      <c r="T12" s="1"/>
      <c r="U12" s="1"/>
      <c r="V12" s="1"/>
      <c r="W12" s="1"/>
      <c r="X12" s="1"/>
      <c r="Y12" s="1"/>
      <c r="Z12" s="1"/>
    </row>
    <row r="13" spans="1:26" ht="17" customHeight="1" thickBot="1" x14ac:dyDescent="0.4">
      <c r="A13" s="4" t="s">
        <v>37</v>
      </c>
      <c r="B13" s="1" t="s">
        <v>36</v>
      </c>
      <c r="C13" s="1" t="s">
        <v>34</v>
      </c>
      <c r="D13" s="1" t="s">
        <v>12</v>
      </c>
      <c r="E13" s="2">
        <v>1343.13</v>
      </c>
      <c r="F13" s="2">
        <v>14</v>
      </c>
      <c r="G13" s="2">
        <v>0.15</v>
      </c>
      <c r="H13" s="3">
        <v>45404</v>
      </c>
      <c r="I13" s="5">
        <v>456.66</v>
      </c>
      <c r="J13" s="2">
        <f>Sales_Data1[[#This Row],[Sales]]*Sales_Data1[[#This Row],[Quantity]]*(1-Sales_Data1[[#This Row],[Discount]])</f>
        <v>15983.246999999999</v>
      </c>
      <c r="K13" s="1"/>
      <c r="L13" s="1"/>
      <c r="M13" s="1"/>
      <c r="N13" s="1"/>
      <c r="O13" s="1"/>
      <c r="P13" s="1"/>
      <c r="Q13" s="1"/>
      <c r="R13" s="1"/>
      <c r="S13" s="1"/>
      <c r="T13" s="1"/>
      <c r="U13" s="1"/>
      <c r="V13" s="1"/>
      <c r="W13" s="1"/>
      <c r="X13" s="1"/>
      <c r="Y13" s="1"/>
      <c r="Z13" s="1"/>
    </row>
    <row r="14" spans="1:26" ht="17" customHeight="1" thickBot="1" x14ac:dyDescent="0.4">
      <c r="A14" s="4" t="s">
        <v>25</v>
      </c>
      <c r="B14" s="1" t="s">
        <v>26</v>
      </c>
      <c r="C14" s="1" t="s">
        <v>34</v>
      </c>
      <c r="D14" s="1" t="s">
        <v>12</v>
      </c>
      <c r="E14" s="2">
        <v>1191.58</v>
      </c>
      <c r="F14" s="2">
        <v>14</v>
      </c>
      <c r="G14" s="2">
        <v>0.05</v>
      </c>
      <c r="H14" s="3">
        <v>45406</v>
      </c>
      <c r="I14" s="5">
        <v>452.8</v>
      </c>
      <c r="J14" s="2">
        <f>Sales_Data1[[#This Row],[Sales]]*Sales_Data1[[#This Row],[Quantity]]*(1-Sales_Data1[[#This Row],[Discount]])</f>
        <v>15848.013999999997</v>
      </c>
      <c r="K14" s="1"/>
      <c r="L14" s="1"/>
      <c r="M14" s="1"/>
      <c r="N14" s="1"/>
      <c r="O14" s="1"/>
      <c r="P14" s="1"/>
      <c r="Q14" s="1"/>
      <c r="R14" s="1"/>
      <c r="S14" s="1"/>
      <c r="T14" s="1"/>
      <c r="U14" s="1"/>
      <c r="V14" s="1"/>
      <c r="W14" s="1"/>
      <c r="X14" s="1"/>
      <c r="Y14" s="1"/>
      <c r="Z14" s="1"/>
    </row>
    <row r="15" spans="1:26" ht="17" customHeight="1" thickBot="1" x14ac:dyDescent="0.4">
      <c r="A15" s="4" t="s">
        <v>40</v>
      </c>
      <c r="B15" s="1" t="s">
        <v>14</v>
      </c>
      <c r="C15" s="1" t="s">
        <v>11</v>
      </c>
      <c r="D15" s="1" t="s">
        <v>27</v>
      </c>
      <c r="E15" s="2">
        <v>822.28</v>
      </c>
      <c r="F15" s="2">
        <v>7</v>
      </c>
      <c r="G15" s="2">
        <v>0.05</v>
      </c>
      <c r="H15" s="3">
        <v>45406</v>
      </c>
      <c r="I15" s="5">
        <v>273.41000000000003</v>
      </c>
      <c r="J15" s="2">
        <f>Sales_Data1[[#This Row],[Sales]]*Sales_Data1[[#This Row],[Quantity]]*(1-Sales_Data1[[#This Row],[Discount]])</f>
        <v>5468.1619999999994</v>
      </c>
      <c r="K15" s="1"/>
      <c r="L15" s="1"/>
      <c r="M15" s="1"/>
      <c r="N15" s="1"/>
      <c r="O15" s="1"/>
      <c r="P15" s="1"/>
      <c r="Q15" s="1"/>
      <c r="R15" s="1"/>
      <c r="S15" s="1"/>
      <c r="T15" s="1"/>
      <c r="U15" s="1"/>
      <c r="V15" s="1"/>
      <c r="W15" s="1"/>
      <c r="X15" s="1"/>
      <c r="Y15" s="1"/>
      <c r="Z15" s="1"/>
    </row>
    <row r="16" spans="1:26" ht="17" customHeight="1" thickBot="1" x14ac:dyDescent="0.4">
      <c r="A16" s="4" t="s">
        <v>41</v>
      </c>
      <c r="B16" s="1" t="s">
        <v>42</v>
      </c>
      <c r="C16" s="1" t="s">
        <v>24</v>
      </c>
      <c r="D16" s="1" t="s">
        <v>27</v>
      </c>
      <c r="E16" s="2">
        <v>521.66999999999996</v>
      </c>
      <c r="F16" s="2">
        <v>15</v>
      </c>
      <c r="G16" s="2">
        <v>0.15</v>
      </c>
      <c r="H16" s="3">
        <v>45409</v>
      </c>
      <c r="I16" s="5">
        <v>155.19999999999999</v>
      </c>
      <c r="J16" s="2">
        <f>Sales_Data1[[#This Row],[Sales]]*Sales_Data1[[#This Row],[Quantity]]*(1-Sales_Data1[[#This Row],[Discount]])</f>
        <v>6651.2924999999996</v>
      </c>
      <c r="K16" s="1"/>
      <c r="L16" s="1"/>
      <c r="M16" s="1"/>
      <c r="N16" s="1"/>
      <c r="O16" s="1"/>
      <c r="P16" s="1"/>
      <c r="Q16" s="1"/>
      <c r="R16" s="1"/>
      <c r="S16" s="1"/>
      <c r="T16" s="1"/>
      <c r="U16" s="1"/>
      <c r="V16" s="1"/>
      <c r="W16" s="1"/>
      <c r="X16" s="1"/>
      <c r="Y16" s="1"/>
      <c r="Z16" s="1"/>
    </row>
    <row r="17" spans="1:26" ht="17" customHeight="1" thickBot="1" x14ac:dyDescent="0.4">
      <c r="A17" s="4" t="s">
        <v>19</v>
      </c>
      <c r="B17" s="1" t="s">
        <v>43</v>
      </c>
      <c r="C17" s="1" t="s">
        <v>20</v>
      </c>
      <c r="D17" s="1" t="s">
        <v>21</v>
      </c>
      <c r="E17" s="2">
        <v>1502.93</v>
      </c>
      <c r="F17" s="2">
        <v>14</v>
      </c>
      <c r="G17" s="2">
        <v>0.2</v>
      </c>
      <c r="H17" s="3">
        <v>45410</v>
      </c>
      <c r="I17" s="5">
        <v>300.58999999999997</v>
      </c>
      <c r="J17" s="2">
        <f>Sales_Data1[[#This Row],[Sales]]*Sales_Data1[[#This Row],[Quantity]]*(1-Sales_Data1[[#This Row],[Discount]])</f>
        <v>16832.816000000003</v>
      </c>
      <c r="K17" s="1"/>
      <c r="L17" s="1"/>
      <c r="M17" s="1"/>
      <c r="N17" s="1"/>
      <c r="O17" s="1"/>
      <c r="P17" s="1"/>
      <c r="Q17" s="1"/>
      <c r="R17" s="1"/>
      <c r="S17" s="1"/>
      <c r="T17" s="1"/>
      <c r="U17" s="1"/>
      <c r="V17" s="1"/>
      <c r="W17" s="1"/>
      <c r="X17" s="1"/>
      <c r="Y17" s="1"/>
      <c r="Z17" s="1"/>
    </row>
    <row r="18" spans="1:26" ht="17" customHeight="1" thickBot="1" x14ac:dyDescent="0.4">
      <c r="A18" s="4" t="s">
        <v>44</v>
      </c>
      <c r="B18" s="1" t="s">
        <v>14</v>
      </c>
      <c r="C18" s="1" t="s">
        <v>20</v>
      </c>
      <c r="D18" s="1" t="s">
        <v>12</v>
      </c>
      <c r="E18" s="2">
        <v>877.58</v>
      </c>
      <c r="F18" s="2">
        <v>10</v>
      </c>
      <c r="G18" s="2">
        <v>0.15</v>
      </c>
      <c r="H18" s="3">
        <v>45411</v>
      </c>
      <c r="I18" s="5">
        <v>298.38</v>
      </c>
      <c r="J18" s="2">
        <f>Sales_Data1[[#This Row],[Sales]]*Sales_Data1[[#This Row],[Quantity]]*(1-Sales_Data1[[#This Row],[Discount]])</f>
        <v>7459.43</v>
      </c>
      <c r="K18" s="1"/>
      <c r="L18" s="1"/>
      <c r="M18" s="1"/>
      <c r="N18" s="1"/>
      <c r="O18" s="1"/>
      <c r="P18" s="1"/>
      <c r="Q18" s="1"/>
      <c r="R18" s="1"/>
      <c r="S18" s="1"/>
      <c r="T18" s="1"/>
      <c r="U18" s="1"/>
      <c r="V18" s="1"/>
      <c r="W18" s="1"/>
      <c r="X18" s="1"/>
      <c r="Y18" s="1"/>
      <c r="Z18" s="1"/>
    </row>
    <row r="19" spans="1:26" ht="17" customHeight="1" thickBot="1" x14ac:dyDescent="0.4">
      <c r="A19" s="4" t="s">
        <v>28</v>
      </c>
      <c r="B19" s="1" t="s">
        <v>45</v>
      </c>
      <c r="C19" s="1" t="s">
        <v>11</v>
      </c>
      <c r="D19" s="1" t="s">
        <v>12</v>
      </c>
      <c r="E19" s="2">
        <v>636.70000000000005</v>
      </c>
      <c r="F19" s="2">
        <v>4</v>
      </c>
      <c r="G19" s="2">
        <v>0.2</v>
      </c>
      <c r="H19" s="3">
        <v>45411</v>
      </c>
      <c r="I19" s="5">
        <v>203.74</v>
      </c>
      <c r="J19" s="2">
        <f>Sales_Data1[[#This Row],[Sales]]*Sales_Data1[[#This Row],[Quantity]]*(1-Sales_Data1[[#This Row],[Discount]])</f>
        <v>2037.4400000000003</v>
      </c>
      <c r="K19" s="1"/>
      <c r="L19" s="1"/>
      <c r="M19" s="1"/>
      <c r="N19" s="1"/>
      <c r="O19" s="1"/>
      <c r="P19" s="1"/>
      <c r="Q19" s="1"/>
      <c r="R19" s="1"/>
      <c r="S19" s="1"/>
      <c r="T19" s="1"/>
      <c r="U19" s="1"/>
      <c r="V19" s="1"/>
      <c r="W19" s="1"/>
      <c r="X19" s="1"/>
      <c r="Y19" s="1"/>
      <c r="Z19" s="1"/>
    </row>
    <row r="20" spans="1:26" ht="17" customHeight="1" thickBot="1" x14ac:dyDescent="0.4">
      <c r="A20" s="4" t="s">
        <v>46</v>
      </c>
      <c r="B20" s="1" t="s">
        <v>47</v>
      </c>
      <c r="C20" s="1" t="s">
        <v>11</v>
      </c>
      <c r="D20" s="1" t="s">
        <v>12</v>
      </c>
      <c r="E20" s="2">
        <v>1506.14</v>
      </c>
      <c r="F20" s="2">
        <v>13</v>
      </c>
      <c r="G20" s="2">
        <v>0.2</v>
      </c>
      <c r="H20" s="3">
        <v>45412</v>
      </c>
      <c r="I20" s="5">
        <v>481.96</v>
      </c>
      <c r="J20" s="2">
        <f>Sales_Data1[[#This Row],[Sales]]*Sales_Data1[[#This Row],[Quantity]]*(1-Sales_Data1[[#This Row],[Discount]])</f>
        <v>15663.856</v>
      </c>
      <c r="K20" s="1"/>
      <c r="L20" s="1"/>
      <c r="M20" s="1"/>
      <c r="N20" s="1"/>
      <c r="O20" s="1"/>
      <c r="P20" s="1"/>
      <c r="Q20" s="1"/>
      <c r="R20" s="1"/>
      <c r="S20" s="1"/>
      <c r="T20" s="1"/>
      <c r="U20" s="1"/>
      <c r="V20" s="1"/>
      <c r="W20" s="1"/>
      <c r="X20" s="1"/>
      <c r="Y20" s="1"/>
      <c r="Z20" s="1"/>
    </row>
    <row r="21" spans="1:26" ht="17" customHeight="1" thickBot="1" x14ac:dyDescent="0.4">
      <c r="A21" s="4" t="s">
        <v>30</v>
      </c>
      <c r="B21" s="1" t="s">
        <v>31</v>
      </c>
      <c r="C21" s="1" t="s">
        <v>34</v>
      </c>
      <c r="D21" s="1" t="s">
        <v>21</v>
      </c>
      <c r="E21" s="2">
        <v>645.02</v>
      </c>
      <c r="F21" s="2">
        <v>4</v>
      </c>
      <c r="G21" s="2">
        <v>0</v>
      </c>
      <c r="H21" s="3">
        <v>45414</v>
      </c>
      <c r="I21" s="5">
        <v>161.26</v>
      </c>
      <c r="J21" s="2">
        <f>Sales_Data1[[#This Row],[Sales]]*Sales_Data1[[#This Row],[Quantity]]*(1-Sales_Data1[[#This Row],[Discount]])</f>
        <v>2580.08</v>
      </c>
      <c r="K21" s="1"/>
      <c r="L21" s="1"/>
      <c r="M21" s="1"/>
      <c r="N21" s="1"/>
      <c r="O21" s="1"/>
      <c r="P21" s="1"/>
      <c r="Q21" s="1"/>
      <c r="R21" s="1"/>
      <c r="S21" s="1"/>
      <c r="T21" s="1"/>
      <c r="U21" s="1"/>
      <c r="V21" s="1"/>
      <c r="W21" s="1"/>
      <c r="X21" s="1"/>
      <c r="Y21" s="1"/>
      <c r="Z21" s="1"/>
    </row>
    <row r="22" spans="1:26" ht="17" customHeight="1" thickBot="1" x14ac:dyDescent="0.4">
      <c r="A22" s="4" t="s">
        <v>25</v>
      </c>
      <c r="B22" s="1" t="s">
        <v>48</v>
      </c>
      <c r="C22" s="1" t="s">
        <v>20</v>
      </c>
      <c r="D22" s="1" t="s">
        <v>15</v>
      </c>
      <c r="E22" s="2">
        <v>953.3</v>
      </c>
      <c r="F22" s="2">
        <v>11</v>
      </c>
      <c r="G22" s="2">
        <v>0</v>
      </c>
      <c r="H22" s="3">
        <v>45415</v>
      </c>
      <c r="I22" s="5">
        <v>476.65</v>
      </c>
      <c r="J22" s="2">
        <f>Sales_Data1[[#This Row],[Sales]]*Sales_Data1[[#This Row],[Quantity]]*(1-Sales_Data1[[#This Row],[Discount]])</f>
        <v>10486.3</v>
      </c>
      <c r="K22" s="1"/>
      <c r="L22" s="1"/>
      <c r="M22" s="1"/>
      <c r="N22" s="1"/>
      <c r="O22" s="1"/>
      <c r="P22" s="1"/>
      <c r="Q22" s="1"/>
      <c r="R22" s="1"/>
      <c r="S22" s="1"/>
      <c r="T22" s="1"/>
      <c r="U22" s="1"/>
      <c r="V22" s="1"/>
      <c r="W22" s="1"/>
      <c r="X22" s="1"/>
      <c r="Y22" s="1"/>
      <c r="Z22" s="1"/>
    </row>
    <row r="23" spans="1:26" ht="17" customHeight="1" thickBot="1" x14ac:dyDescent="0.4">
      <c r="A23" s="4" t="s">
        <v>49</v>
      </c>
      <c r="B23" s="1" t="s">
        <v>14</v>
      </c>
      <c r="C23" s="1" t="s">
        <v>24</v>
      </c>
      <c r="D23" s="1" t="s">
        <v>21</v>
      </c>
      <c r="E23" s="2">
        <v>388.56</v>
      </c>
      <c r="F23" s="2">
        <v>14</v>
      </c>
      <c r="G23" s="2">
        <v>0.15</v>
      </c>
      <c r="H23" s="3">
        <v>45416</v>
      </c>
      <c r="I23" s="5">
        <v>82.57</v>
      </c>
      <c r="J23" s="2">
        <f>Sales_Data1[[#This Row],[Sales]]*Sales_Data1[[#This Row],[Quantity]]*(1-Sales_Data1[[#This Row],[Discount]])</f>
        <v>4623.8639999999996</v>
      </c>
      <c r="K23" s="1"/>
      <c r="L23" s="1"/>
      <c r="M23" s="1"/>
      <c r="N23" s="1"/>
      <c r="O23" s="1"/>
      <c r="P23" s="1"/>
      <c r="Q23" s="1"/>
      <c r="R23" s="1"/>
      <c r="S23" s="1"/>
      <c r="T23" s="1"/>
      <c r="U23" s="1"/>
      <c r="V23" s="1"/>
      <c r="W23" s="1"/>
      <c r="X23" s="1"/>
      <c r="Y23" s="1"/>
      <c r="Z23" s="1"/>
    </row>
    <row r="24" spans="1:26" ht="17" customHeight="1" thickBot="1" x14ac:dyDescent="0.4">
      <c r="A24" s="4" t="s">
        <v>9</v>
      </c>
      <c r="B24" s="1" t="s">
        <v>31</v>
      </c>
      <c r="C24" s="1" t="s">
        <v>11</v>
      </c>
      <c r="D24" s="1" t="s">
        <v>12</v>
      </c>
      <c r="E24" s="2">
        <v>743.17</v>
      </c>
      <c r="F24" s="2">
        <v>9</v>
      </c>
      <c r="G24" s="2">
        <v>0</v>
      </c>
      <c r="H24" s="3">
        <v>45416</v>
      </c>
      <c r="I24" s="5">
        <v>297.27</v>
      </c>
      <c r="J24" s="2">
        <f>Sales_Data1[[#This Row],[Sales]]*Sales_Data1[[#This Row],[Quantity]]*(1-Sales_Data1[[#This Row],[Discount]])</f>
        <v>6688.53</v>
      </c>
      <c r="K24" s="1"/>
      <c r="L24" s="1"/>
      <c r="M24" s="1"/>
      <c r="N24" s="1"/>
      <c r="O24" s="1"/>
      <c r="P24" s="1"/>
      <c r="Q24" s="1"/>
      <c r="R24" s="1"/>
      <c r="S24" s="1"/>
      <c r="T24" s="1"/>
      <c r="U24" s="1"/>
      <c r="V24" s="1"/>
      <c r="W24" s="1"/>
      <c r="X24" s="1"/>
      <c r="Y24" s="1"/>
      <c r="Z24" s="1"/>
    </row>
    <row r="25" spans="1:26" ht="17" customHeight="1" thickBot="1" x14ac:dyDescent="0.4">
      <c r="A25" s="4" t="s">
        <v>40</v>
      </c>
      <c r="B25" s="1" t="s">
        <v>31</v>
      </c>
      <c r="C25" s="1" t="s">
        <v>34</v>
      </c>
      <c r="D25" s="1" t="s">
        <v>21</v>
      </c>
      <c r="E25" s="2">
        <v>706.37</v>
      </c>
      <c r="F25" s="2">
        <v>6</v>
      </c>
      <c r="G25" s="2">
        <v>0</v>
      </c>
      <c r="H25" s="3">
        <v>45416</v>
      </c>
      <c r="I25" s="5">
        <v>176.59</v>
      </c>
      <c r="J25" s="2">
        <f>Sales_Data1[[#This Row],[Sales]]*Sales_Data1[[#This Row],[Quantity]]*(1-Sales_Data1[[#This Row],[Discount]])</f>
        <v>4238.22</v>
      </c>
      <c r="K25" s="1"/>
      <c r="L25" s="1"/>
      <c r="M25" s="1"/>
      <c r="N25" s="1"/>
      <c r="O25" s="1"/>
      <c r="P25" s="1"/>
      <c r="Q25" s="1"/>
      <c r="R25" s="1"/>
      <c r="S25" s="1"/>
      <c r="T25" s="1"/>
      <c r="U25" s="1"/>
      <c r="V25" s="1"/>
      <c r="W25" s="1"/>
      <c r="X25" s="1"/>
      <c r="Y25" s="1"/>
      <c r="Z25" s="1"/>
    </row>
    <row r="26" spans="1:26" ht="17" customHeight="1" thickBot="1" x14ac:dyDescent="0.4">
      <c r="A26" s="4" t="s">
        <v>13</v>
      </c>
      <c r="B26" s="1" t="s">
        <v>31</v>
      </c>
      <c r="C26" s="1" t="s">
        <v>34</v>
      </c>
      <c r="D26" s="1" t="s">
        <v>39</v>
      </c>
      <c r="E26" s="2">
        <v>925.31</v>
      </c>
      <c r="F26" s="2">
        <v>8</v>
      </c>
      <c r="G26" s="2">
        <v>0.1</v>
      </c>
      <c r="H26" s="3">
        <v>45418</v>
      </c>
      <c r="I26" s="5">
        <v>374.75</v>
      </c>
      <c r="J26" s="2">
        <f>Sales_Data1[[#This Row],[Sales]]*Sales_Data1[[#This Row],[Quantity]]*(1-Sales_Data1[[#This Row],[Discount]])</f>
        <v>6662.232</v>
      </c>
      <c r="K26" s="1"/>
      <c r="L26" s="1"/>
      <c r="M26" s="1"/>
      <c r="N26" s="1"/>
      <c r="O26" s="1"/>
      <c r="P26" s="1"/>
      <c r="Q26" s="1"/>
      <c r="R26" s="1"/>
      <c r="S26" s="1"/>
      <c r="T26" s="1"/>
      <c r="U26" s="1"/>
      <c r="V26" s="1"/>
      <c r="W26" s="1"/>
      <c r="X26" s="1"/>
      <c r="Y26" s="1"/>
      <c r="Z26" s="1"/>
    </row>
    <row r="27" spans="1:26" ht="17" customHeight="1" thickBot="1" x14ac:dyDescent="0.4">
      <c r="A27" s="4" t="s">
        <v>35</v>
      </c>
      <c r="B27" s="1" t="s">
        <v>50</v>
      </c>
      <c r="C27" s="1" t="s">
        <v>20</v>
      </c>
      <c r="D27" s="1" t="s">
        <v>21</v>
      </c>
      <c r="E27" s="2">
        <v>1173.1199999999999</v>
      </c>
      <c r="F27" s="2">
        <v>18</v>
      </c>
      <c r="G27" s="2">
        <v>0</v>
      </c>
      <c r="H27" s="3">
        <v>45418</v>
      </c>
      <c r="I27" s="5">
        <v>293.27999999999997</v>
      </c>
      <c r="J27" s="2">
        <f>Sales_Data1[[#This Row],[Sales]]*Sales_Data1[[#This Row],[Quantity]]*(1-Sales_Data1[[#This Row],[Discount]])</f>
        <v>21116.159999999996</v>
      </c>
      <c r="K27" s="1"/>
      <c r="L27" s="1"/>
      <c r="M27" s="1"/>
      <c r="N27" s="1"/>
      <c r="O27" s="1"/>
      <c r="P27" s="1"/>
      <c r="Q27" s="1"/>
      <c r="R27" s="1"/>
      <c r="S27" s="1"/>
      <c r="T27" s="1"/>
      <c r="U27" s="1"/>
      <c r="V27" s="1"/>
      <c r="W27" s="1"/>
      <c r="X27" s="1"/>
      <c r="Y27" s="1"/>
      <c r="Z27" s="1"/>
    </row>
    <row r="28" spans="1:26" ht="17" customHeight="1" thickBot="1" x14ac:dyDescent="0.4">
      <c r="A28" s="4" t="s">
        <v>22</v>
      </c>
      <c r="B28" s="1" t="s">
        <v>51</v>
      </c>
      <c r="C28" s="1" t="s">
        <v>24</v>
      </c>
      <c r="D28" s="1" t="s">
        <v>27</v>
      </c>
      <c r="E28" s="2">
        <v>675.54</v>
      </c>
      <c r="F28" s="2">
        <v>17</v>
      </c>
      <c r="G28" s="2">
        <v>0</v>
      </c>
      <c r="H28" s="3">
        <v>45420</v>
      </c>
      <c r="I28" s="5">
        <v>236.44</v>
      </c>
      <c r="J28" s="2">
        <f>Sales_Data1[[#This Row],[Sales]]*Sales_Data1[[#This Row],[Quantity]]*(1-Sales_Data1[[#This Row],[Discount]])</f>
        <v>11484.18</v>
      </c>
      <c r="K28" s="1"/>
      <c r="L28" s="1"/>
      <c r="M28" s="1"/>
      <c r="N28" s="1"/>
      <c r="O28" s="1"/>
      <c r="P28" s="1"/>
      <c r="Q28" s="1"/>
      <c r="R28" s="1"/>
      <c r="S28" s="1"/>
      <c r="T28" s="1"/>
      <c r="U28" s="1"/>
      <c r="V28" s="1"/>
      <c r="W28" s="1"/>
      <c r="X28" s="1"/>
      <c r="Y28" s="1"/>
      <c r="Z28" s="1"/>
    </row>
    <row r="29" spans="1:26" ht="17" customHeight="1" thickBot="1" x14ac:dyDescent="0.4">
      <c r="A29" s="4" t="s">
        <v>25</v>
      </c>
      <c r="B29" s="1" t="s">
        <v>14</v>
      </c>
      <c r="C29" s="1" t="s">
        <v>34</v>
      </c>
      <c r="D29" s="1" t="s">
        <v>12</v>
      </c>
      <c r="E29" s="2">
        <v>939.09</v>
      </c>
      <c r="F29" s="2">
        <v>2</v>
      </c>
      <c r="G29" s="2">
        <v>0.05</v>
      </c>
      <c r="H29" s="3">
        <v>45422</v>
      </c>
      <c r="I29" s="5">
        <v>356.85</v>
      </c>
      <c r="J29" s="2">
        <f>Sales_Data1[[#This Row],[Sales]]*Sales_Data1[[#This Row],[Quantity]]*(1-Sales_Data1[[#This Row],[Discount]])</f>
        <v>1784.271</v>
      </c>
      <c r="K29" s="1"/>
      <c r="L29" s="1"/>
      <c r="M29" s="1"/>
      <c r="N29" s="1"/>
      <c r="O29" s="1"/>
      <c r="P29" s="1"/>
      <c r="Q29" s="1"/>
      <c r="R29" s="1"/>
      <c r="S29" s="1"/>
      <c r="T29" s="1"/>
      <c r="U29" s="1"/>
      <c r="V29" s="1"/>
      <c r="W29" s="1"/>
      <c r="X29" s="1"/>
      <c r="Y29" s="1"/>
      <c r="Z29" s="1"/>
    </row>
    <row r="30" spans="1:26" ht="17" customHeight="1" thickBot="1" x14ac:dyDescent="0.4">
      <c r="A30" s="4" t="s">
        <v>52</v>
      </c>
      <c r="B30" s="1" t="s">
        <v>53</v>
      </c>
      <c r="C30" s="1" t="s">
        <v>18</v>
      </c>
      <c r="D30" s="1" t="s">
        <v>39</v>
      </c>
      <c r="E30" s="2">
        <v>983.34</v>
      </c>
      <c r="F30" s="2">
        <v>19</v>
      </c>
      <c r="G30" s="2">
        <v>0.1</v>
      </c>
      <c r="H30" s="3">
        <v>45426</v>
      </c>
      <c r="I30" s="5">
        <v>398.25</v>
      </c>
      <c r="J30" s="2">
        <f>Sales_Data1[[#This Row],[Sales]]*Sales_Data1[[#This Row],[Quantity]]*(1-Sales_Data1[[#This Row],[Discount]])</f>
        <v>16815.114000000001</v>
      </c>
      <c r="K30" s="1"/>
      <c r="L30" s="1"/>
      <c r="M30" s="1"/>
      <c r="N30" s="1"/>
      <c r="O30" s="1"/>
      <c r="P30" s="1"/>
      <c r="Q30" s="1"/>
      <c r="R30" s="1"/>
      <c r="S30" s="1"/>
      <c r="T30" s="1"/>
      <c r="U30" s="1"/>
      <c r="V30" s="1"/>
      <c r="W30" s="1"/>
      <c r="X30" s="1"/>
      <c r="Y30" s="1"/>
      <c r="Z30" s="1"/>
    </row>
    <row r="31" spans="1:26" ht="17" customHeight="1" thickBot="1" x14ac:dyDescent="0.4">
      <c r="A31" s="4" t="s">
        <v>52</v>
      </c>
      <c r="B31" s="1" t="s">
        <v>23</v>
      </c>
      <c r="C31" s="1" t="s">
        <v>20</v>
      </c>
      <c r="D31" s="1" t="s">
        <v>21</v>
      </c>
      <c r="E31" s="2">
        <v>801.21</v>
      </c>
      <c r="F31" s="2">
        <v>3</v>
      </c>
      <c r="G31" s="2">
        <v>0.2</v>
      </c>
      <c r="H31" s="3">
        <v>45426</v>
      </c>
      <c r="I31" s="5">
        <v>160.24</v>
      </c>
      <c r="J31" s="2">
        <f>Sales_Data1[[#This Row],[Sales]]*Sales_Data1[[#This Row],[Quantity]]*(1-Sales_Data1[[#This Row],[Discount]])</f>
        <v>1922.9040000000002</v>
      </c>
      <c r="K31" s="1"/>
      <c r="L31" s="1"/>
      <c r="M31" s="1"/>
      <c r="N31" s="1"/>
      <c r="O31" s="1"/>
      <c r="P31" s="1"/>
      <c r="Q31" s="1"/>
      <c r="R31" s="1"/>
      <c r="S31" s="1"/>
      <c r="T31" s="1"/>
      <c r="U31" s="1"/>
      <c r="V31" s="1"/>
      <c r="W31" s="1"/>
      <c r="X31" s="1"/>
      <c r="Y31" s="1"/>
      <c r="Z31" s="1"/>
    </row>
    <row r="32" spans="1:26" ht="17" customHeight="1" thickBot="1" x14ac:dyDescent="0.4">
      <c r="A32" s="4" t="s">
        <v>54</v>
      </c>
      <c r="B32" s="1" t="s">
        <v>55</v>
      </c>
      <c r="C32" s="1" t="s">
        <v>24</v>
      </c>
      <c r="D32" s="1" t="s">
        <v>21</v>
      </c>
      <c r="E32" s="2">
        <v>1450.71</v>
      </c>
      <c r="F32" s="2">
        <v>5</v>
      </c>
      <c r="G32" s="2">
        <v>0.1</v>
      </c>
      <c r="H32" s="3">
        <v>45427</v>
      </c>
      <c r="I32" s="5">
        <v>326.41000000000003</v>
      </c>
      <c r="J32" s="2">
        <f>Sales_Data1[[#This Row],[Sales]]*Sales_Data1[[#This Row],[Quantity]]*(1-Sales_Data1[[#This Row],[Discount]])</f>
        <v>6528.1950000000006</v>
      </c>
      <c r="K32" s="1"/>
      <c r="L32" s="1"/>
      <c r="M32" s="1"/>
      <c r="N32" s="1"/>
      <c r="O32" s="1"/>
      <c r="P32" s="1"/>
      <c r="Q32" s="1"/>
      <c r="R32" s="1"/>
      <c r="S32" s="1"/>
      <c r="T32" s="1"/>
      <c r="U32" s="1"/>
      <c r="V32" s="1"/>
      <c r="W32" s="1"/>
      <c r="X32" s="1"/>
      <c r="Y32" s="1"/>
      <c r="Z32" s="1"/>
    </row>
    <row r="33" spans="1:26" ht="17" customHeight="1" thickBot="1" x14ac:dyDescent="0.4">
      <c r="A33" s="4" t="s">
        <v>49</v>
      </c>
      <c r="B33" s="1" t="s">
        <v>56</v>
      </c>
      <c r="C33" s="1" t="s">
        <v>34</v>
      </c>
      <c r="D33" s="1" t="s">
        <v>12</v>
      </c>
      <c r="E33" s="2">
        <v>1023.21</v>
      </c>
      <c r="F33" s="2">
        <v>18</v>
      </c>
      <c r="G33" s="2">
        <v>0.05</v>
      </c>
      <c r="H33" s="3">
        <v>45428</v>
      </c>
      <c r="I33" s="5">
        <v>388.82</v>
      </c>
      <c r="J33" s="2">
        <f>Sales_Data1[[#This Row],[Sales]]*Sales_Data1[[#This Row],[Quantity]]*(1-Sales_Data1[[#This Row],[Discount]])</f>
        <v>17496.891</v>
      </c>
      <c r="K33" s="1"/>
      <c r="L33" s="1"/>
      <c r="M33" s="1"/>
      <c r="N33" s="1"/>
      <c r="O33" s="1"/>
      <c r="P33" s="1"/>
      <c r="Q33" s="1"/>
      <c r="R33" s="1"/>
      <c r="S33" s="1"/>
      <c r="T33" s="1"/>
      <c r="U33" s="1"/>
      <c r="V33" s="1"/>
      <c r="W33" s="1"/>
      <c r="X33" s="1"/>
      <c r="Y33" s="1"/>
      <c r="Z33" s="1"/>
    </row>
    <row r="34" spans="1:26" ht="17" customHeight="1" thickBot="1" x14ac:dyDescent="0.4">
      <c r="A34" s="4" t="s">
        <v>28</v>
      </c>
      <c r="B34" s="1" t="s">
        <v>47</v>
      </c>
      <c r="C34" s="1" t="s">
        <v>11</v>
      </c>
      <c r="D34" s="1" t="s">
        <v>27</v>
      </c>
      <c r="E34" s="2">
        <v>853.72</v>
      </c>
      <c r="F34" s="2">
        <v>5</v>
      </c>
      <c r="G34" s="2">
        <v>0.15</v>
      </c>
      <c r="H34" s="3">
        <v>45428</v>
      </c>
      <c r="I34" s="5">
        <v>253.98</v>
      </c>
      <c r="J34" s="2">
        <f>Sales_Data1[[#This Row],[Sales]]*Sales_Data1[[#This Row],[Quantity]]*(1-Sales_Data1[[#This Row],[Discount]])</f>
        <v>3628.3100000000004</v>
      </c>
      <c r="K34" s="1"/>
      <c r="L34" s="1"/>
      <c r="M34" s="1"/>
      <c r="N34" s="1"/>
      <c r="O34" s="1"/>
      <c r="P34" s="1"/>
      <c r="Q34" s="1"/>
      <c r="R34" s="1"/>
      <c r="S34" s="1"/>
      <c r="T34" s="1"/>
      <c r="U34" s="1"/>
      <c r="V34" s="1"/>
      <c r="W34" s="1"/>
      <c r="X34" s="1"/>
      <c r="Y34" s="1"/>
      <c r="Z34" s="1"/>
    </row>
    <row r="35" spans="1:26" ht="17" customHeight="1" thickBot="1" x14ac:dyDescent="0.4">
      <c r="A35" s="4" t="s">
        <v>57</v>
      </c>
      <c r="B35" s="1" t="s">
        <v>43</v>
      </c>
      <c r="C35" s="1" t="s">
        <v>20</v>
      </c>
      <c r="D35" s="1" t="s">
        <v>21</v>
      </c>
      <c r="E35" s="2">
        <v>967.89</v>
      </c>
      <c r="F35" s="2">
        <v>10</v>
      </c>
      <c r="G35" s="2">
        <v>0.1</v>
      </c>
      <c r="H35" s="3">
        <v>45429</v>
      </c>
      <c r="I35" s="5">
        <v>217.78</v>
      </c>
      <c r="J35" s="2">
        <f>Sales_Data1[[#This Row],[Sales]]*Sales_Data1[[#This Row],[Quantity]]*(1-Sales_Data1[[#This Row],[Discount]])</f>
        <v>8711.01</v>
      </c>
      <c r="K35" s="1"/>
      <c r="L35" s="1"/>
      <c r="M35" s="1"/>
      <c r="N35" s="1"/>
      <c r="O35" s="1"/>
      <c r="P35" s="1"/>
      <c r="Q35" s="1"/>
      <c r="R35" s="1"/>
      <c r="S35" s="1"/>
      <c r="T35" s="1"/>
      <c r="U35" s="1"/>
      <c r="V35" s="1"/>
      <c r="W35" s="1"/>
      <c r="X35" s="1"/>
      <c r="Y35" s="1"/>
      <c r="Z35" s="1"/>
    </row>
    <row r="36" spans="1:26" ht="17" customHeight="1" thickBot="1" x14ac:dyDescent="0.4">
      <c r="A36" s="4" t="s">
        <v>58</v>
      </c>
      <c r="B36" s="1" t="s">
        <v>53</v>
      </c>
      <c r="C36" s="1" t="s">
        <v>24</v>
      </c>
      <c r="D36" s="1" t="s">
        <v>39</v>
      </c>
      <c r="E36" s="2">
        <v>1200.9000000000001</v>
      </c>
      <c r="F36" s="2">
        <v>14</v>
      </c>
      <c r="G36" s="2">
        <v>0.05</v>
      </c>
      <c r="H36" s="3">
        <v>45429</v>
      </c>
      <c r="I36" s="5">
        <v>513.38</v>
      </c>
      <c r="J36" s="2">
        <f>Sales_Data1[[#This Row],[Sales]]*Sales_Data1[[#This Row],[Quantity]]*(1-Sales_Data1[[#This Row],[Discount]])</f>
        <v>15971.970000000001</v>
      </c>
      <c r="K36" s="1"/>
      <c r="L36" s="1"/>
      <c r="M36" s="1"/>
      <c r="N36" s="1"/>
      <c r="O36" s="1"/>
      <c r="P36" s="1"/>
      <c r="Q36" s="1"/>
      <c r="R36" s="1"/>
      <c r="S36" s="1"/>
      <c r="T36" s="1"/>
      <c r="U36" s="1"/>
      <c r="V36" s="1"/>
      <c r="W36" s="1"/>
      <c r="X36" s="1"/>
      <c r="Y36" s="1"/>
      <c r="Z36" s="1"/>
    </row>
    <row r="37" spans="1:26" ht="17" customHeight="1" thickBot="1" x14ac:dyDescent="0.4">
      <c r="A37" s="4" t="s">
        <v>13</v>
      </c>
      <c r="B37" s="1" t="s">
        <v>26</v>
      </c>
      <c r="C37" s="1" t="s">
        <v>11</v>
      </c>
      <c r="D37" s="1" t="s">
        <v>12</v>
      </c>
      <c r="E37" s="2">
        <v>472.38</v>
      </c>
      <c r="F37" s="2">
        <v>12</v>
      </c>
      <c r="G37" s="2">
        <v>0.2</v>
      </c>
      <c r="H37" s="3">
        <v>45429</v>
      </c>
      <c r="I37" s="5">
        <v>151.16</v>
      </c>
      <c r="J37" s="2">
        <f>Sales_Data1[[#This Row],[Sales]]*Sales_Data1[[#This Row],[Quantity]]*(1-Sales_Data1[[#This Row],[Discount]])</f>
        <v>4534.848</v>
      </c>
      <c r="K37" s="1"/>
      <c r="L37" s="1"/>
      <c r="M37" s="1"/>
      <c r="N37" s="1"/>
      <c r="O37" s="1"/>
      <c r="P37" s="1"/>
      <c r="Q37" s="1"/>
      <c r="R37" s="1"/>
      <c r="S37" s="1"/>
      <c r="T37" s="1"/>
      <c r="U37" s="1"/>
      <c r="V37" s="1"/>
      <c r="W37" s="1"/>
      <c r="X37" s="1"/>
      <c r="Y37" s="1"/>
      <c r="Z37" s="1"/>
    </row>
    <row r="38" spans="1:26" ht="17" customHeight="1" thickBot="1" x14ac:dyDescent="0.4">
      <c r="A38" s="4" t="s">
        <v>9</v>
      </c>
      <c r="B38" s="1" t="s">
        <v>55</v>
      </c>
      <c r="C38" s="1" t="s">
        <v>18</v>
      </c>
      <c r="D38" s="1" t="s">
        <v>39</v>
      </c>
      <c r="E38" s="2">
        <v>840.92</v>
      </c>
      <c r="F38" s="2">
        <v>9</v>
      </c>
      <c r="G38" s="2">
        <v>0.05</v>
      </c>
      <c r="H38" s="3">
        <v>45429</v>
      </c>
      <c r="I38" s="5">
        <v>359.49</v>
      </c>
      <c r="J38" s="2">
        <f>Sales_Data1[[#This Row],[Sales]]*Sales_Data1[[#This Row],[Quantity]]*(1-Sales_Data1[[#This Row],[Discount]])</f>
        <v>7189.8659999999991</v>
      </c>
      <c r="K38" s="1"/>
      <c r="L38" s="1"/>
      <c r="M38" s="1"/>
      <c r="N38" s="1"/>
      <c r="O38" s="1"/>
      <c r="P38" s="1"/>
      <c r="Q38" s="1"/>
      <c r="R38" s="1"/>
      <c r="S38" s="1"/>
      <c r="T38" s="1"/>
      <c r="U38" s="1"/>
      <c r="V38" s="1"/>
      <c r="W38" s="1"/>
      <c r="X38" s="1"/>
      <c r="Y38" s="1"/>
      <c r="Z38" s="1"/>
    </row>
    <row r="39" spans="1:26" ht="17" customHeight="1" thickBot="1" x14ac:dyDescent="0.4">
      <c r="A39" s="4" t="s">
        <v>52</v>
      </c>
      <c r="B39" s="1" t="s">
        <v>48</v>
      </c>
      <c r="C39" s="1" t="s">
        <v>34</v>
      </c>
      <c r="D39" s="1" t="s">
        <v>27</v>
      </c>
      <c r="E39" s="2">
        <v>1410.06</v>
      </c>
      <c r="F39" s="2">
        <v>11</v>
      </c>
      <c r="G39" s="2">
        <v>0.05</v>
      </c>
      <c r="H39" s="3">
        <v>45434</v>
      </c>
      <c r="I39" s="5">
        <v>468.84</v>
      </c>
      <c r="J39" s="2">
        <f>Sales_Data1[[#This Row],[Sales]]*Sales_Data1[[#This Row],[Quantity]]*(1-Sales_Data1[[#This Row],[Discount]])</f>
        <v>14735.126999999999</v>
      </c>
      <c r="K39" s="1"/>
      <c r="L39" s="1"/>
      <c r="M39" s="1"/>
      <c r="N39" s="1"/>
      <c r="O39" s="1"/>
      <c r="P39" s="1"/>
      <c r="Q39" s="1"/>
      <c r="R39" s="1"/>
      <c r="S39" s="1"/>
      <c r="T39" s="1"/>
      <c r="U39" s="1"/>
      <c r="V39" s="1"/>
      <c r="W39" s="1"/>
      <c r="X39" s="1"/>
      <c r="Y39" s="1"/>
      <c r="Z39" s="1"/>
    </row>
    <row r="40" spans="1:26" ht="17" customHeight="1" thickBot="1" x14ac:dyDescent="0.4">
      <c r="A40" s="4" t="s">
        <v>44</v>
      </c>
      <c r="B40" s="1" t="s">
        <v>59</v>
      </c>
      <c r="C40" s="1" t="s">
        <v>34</v>
      </c>
      <c r="D40" s="1" t="s">
        <v>27</v>
      </c>
      <c r="E40" s="2">
        <v>773.09</v>
      </c>
      <c r="F40" s="2">
        <v>13</v>
      </c>
      <c r="G40" s="2">
        <v>0.15</v>
      </c>
      <c r="H40" s="3">
        <v>45434</v>
      </c>
      <c r="I40" s="5">
        <v>229.99</v>
      </c>
      <c r="J40" s="2">
        <f>Sales_Data1[[#This Row],[Sales]]*Sales_Data1[[#This Row],[Quantity]]*(1-Sales_Data1[[#This Row],[Discount]])</f>
        <v>8542.6445000000003</v>
      </c>
      <c r="K40" s="1"/>
      <c r="L40" s="1"/>
      <c r="M40" s="1"/>
      <c r="N40" s="1"/>
      <c r="O40" s="1"/>
      <c r="P40" s="1"/>
      <c r="Q40" s="1"/>
      <c r="R40" s="1"/>
      <c r="S40" s="1"/>
      <c r="T40" s="1"/>
      <c r="U40" s="1"/>
      <c r="V40" s="1"/>
      <c r="W40" s="1"/>
      <c r="X40" s="1"/>
      <c r="Y40" s="1"/>
      <c r="Z40" s="1"/>
    </row>
    <row r="41" spans="1:26" ht="17" customHeight="1" thickBot="1" x14ac:dyDescent="0.4">
      <c r="A41" s="4" t="s">
        <v>60</v>
      </c>
      <c r="B41" s="1" t="s">
        <v>61</v>
      </c>
      <c r="C41" s="1" t="s">
        <v>18</v>
      </c>
      <c r="D41" s="1" t="s">
        <v>12</v>
      </c>
      <c r="E41" s="2">
        <v>580.42999999999995</v>
      </c>
      <c r="F41" s="2">
        <v>19</v>
      </c>
      <c r="G41" s="2">
        <v>0.15</v>
      </c>
      <c r="H41" s="3">
        <v>45435</v>
      </c>
      <c r="I41" s="5">
        <v>197.35</v>
      </c>
      <c r="J41" s="2">
        <f>Sales_Data1[[#This Row],[Sales]]*Sales_Data1[[#This Row],[Quantity]]*(1-Sales_Data1[[#This Row],[Discount]])</f>
        <v>9373.9444999999978</v>
      </c>
      <c r="K41" s="1"/>
      <c r="L41" s="1"/>
      <c r="M41" s="1"/>
      <c r="N41" s="1"/>
      <c r="O41" s="1"/>
      <c r="P41" s="1"/>
      <c r="Q41" s="1"/>
      <c r="R41" s="1"/>
      <c r="S41" s="1"/>
      <c r="T41" s="1"/>
      <c r="U41" s="1"/>
      <c r="V41" s="1"/>
      <c r="W41" s="1"/>
      <c r="X41" s="1"/>
      <c r="Y41" s="1"/>
      <c r="Z41" s="1"/>
    </row>
    <row r="42" spans="1:26" ht="17" customHeight="1" thickBot="1" x14ac:dyDescent="0.4">
      <c r="A42" s="4" t="s">
        <v>19</v>
      </c>
      <c r="B42" s="1" t="s">
        <v>42</v>
      </c>
      <c r="C42" s="1" t="s">
        <v>20</v>
      </c>
      <c r="D42" s="1" t="s">
        <v>12</v>
      </c>
      <c r="E42" s="2">
        <v>1151.21</v>
      </c>
      <c r="F42" s="2">
        <v>15</v>
      </c>
      <c r="G42" s="2">
        <v>0.1</v>
      </c>
      <c r="H42" s="3">
        <v>45445</v>
      </c>
      <c r="I42" s="5">
        <v>414.44</v>
      </c>
      <c r="J42" s="2">
        <f>Sales_Data1[[#This Row],[Sales]]*Sales_Data1[[#This Row],[Quantity]]*(1-Sales_Data1[[#This Row],[Discount]])</f>
        <v>15541.335000000001</v>
      </c>
      <c r="K42" s="1"/>
      <c r="L42" s="1"/>
      <c r="M42" s="1"/>
      <c r="N42" s="1"/>
      <c r="O42" s="1"/>
      <c r="P42" s="1"/>
      <c r="Q42" s="1"/>
      <c r="R42" s="1"/>
      <c r="S42" s="1"/>
      <c r="T42" s="1"/>
      <c r="U42" s="1"/>
      <c r="V42" s="1"/>
      <c r="W42" s="1"/>
      <c r="X42" s="1"/>
      <c r="Y42" s="1"/>
      <c r="Z42" s="1"/>
    </row>
    <row r="43" spans="1:26" ht="17" customHeight="1" thickBot="1" x14ac:dyDescent="0.4">
      <c r="A43" s="4" t="s">
        <v>52</v>
      </c>
      <c r="B43" s="1" t="s">
        <v>23</v>
      </c>
      <c r="C43" s="1" t="s">
        <v>34</v>
      </c>
      <c r="D43" s="1" t="s">
        <v>39</v>
      </c>
      <c r="E43" s="2">
        <v>1025.98</v>
      </c>
      <c r="F43" s="2">
        <v>5</v>
      </c>
      <c r="G43" s="2">
        <v>0.2</v>
      </c>
      <c r="H43" s="3">
        <v>45447</v>
      </c>
      <c r="I43" s="5">
        <v>369.35</v>
      </c>
      <c r="J43" s="2">
        <f>Sales_Data1[[#This Row],[Sales]]*Sales_Data1[[#This Row],[Quantity]]*(1-Sales_Data1[[#This Row],[Discount]])</f>
        <v>4103.92</v>
      </c>
      <c r="K43" s="1"/>
      <c r="L43" s="1"/>
      <c r="M43" s="1"/>
      <c r="N43" s="1"/>
      <c r="O43" s="1"/>
      <c r="P43" s="1"/>
      <c r="Q43" s="1"/>
      <c r="R43" s="1"/>
      <c r="S43" s="1"/>
      <c r="T43" s="1"/>
      <c r="U43" s="1"/>
      <c r="V43" s="1"/>
      <c r="W43" s="1"/>
      <c r="X43" s="1"/>
      <c r="Y43" s="1"/>
      <c r="Z43" s="1"/>
    </row>
    <row r="44" spans="1:26" ht="17" customHeight="1" thickBot="1" x14ac:dyDescent="0.4">
      <c r="A44" s="4" t="s">
        <v>40</v>
      </c>
      <c r="B44" s="1" t="s">
        <v>56</v>
      </c>
      <c r="C44" s="1" t="s">
        <v>18</v>
      </c>
      <c r="D44" s="1" t="s">
        <v>39</v>
      </c>
      <c r="E44" s="2">
        <v>556.41999999999996</v>
      </c>
      <c r="F44" s="2">
        <v>11</v>
      </c>
      <c r="G44" s="2">
        <v>0.15</v>
      </c>
      <c r="H44" s="3">
        <v>45447</v>
      </c>
      <c r="I44" s="5">
        <v>212.83</v>
      </c>
      <c r="J44" s="2">
        <f>Sales_Data1[[#This Row],[Sales]]*Sales_Data1[[#This Row],[Quantity]]*(1-Sales_Data1[[#This Row],[Discount]])</f>
        <v>5202.527</v>
      </c>
      <c r="K44" s="1"/>
      <c r="L44" s="1"/>
      <c r="M44" s="1"/>
      <c r="N44" s="1"/>
      <c r="O44" s="1"/>
      <c r="P44" s="1"/>
      <c r="Q44" s="1"/>
      <c r="R44" s="1"/>
      <c r="S44" s="1"/>
      <c r="T44" s="1"/>
      <c r="U44" s="1"/>
      <c r="V44" s="1"/>
      <c r="W44" s="1"/>
      <c r="X44" s="1"/>
      <c r="Y44" s="1"/>
      <c r="Z44" s="1"/>
    </row>
    <row r="45" spans="1:26" ht="17" customHeight="1" thickBot="1" x14ac:dyDescent="0.4">
      <c r="A45" s="4" t="s">
        <v>57</v>
      </c>
      <c r="B45" s="1" t="s">
        <v>23</v>
      </c>
      <c r="C45" s="1" t="s">
        <v>34</v>
      </c>
      <c r="D45" s="1" t="s">
        <v>12</v>
      </c>
      <c r="E45" s="2">
        <v>840.85</v>
      </c>
      <c r="F45" s="2">
        <v>19</v>
      </c>
      <c r="G45" s="2">
        <v>0.1</v>
      </c>
      <c r="H45" s="3">
        <v>45448</v>
      </c>
      <c r="I45" s="5">
        <v>302.70999999999998</v>
      </c>
      <c r="J45" s="2">
        <f>Sales_Data1[[#This Row],[Sales]]*Sales_Data1[[#This Row],[Quantity]]*(1-Sales_Data1[[#This Row],[Discount]])</f>
        <v>14378.535</v>
      </c>
      <c r="K45" s="1"/>
      <c r="L45" s="1"/>
      <c r="M45" s="1"/>
      <c r="N45" s="1"/>
      <c r="O45" s="1"/>
      <c r="P45" s="1"/>
      <c r="Q45" s="1"/>
      <c r="R45" s="1"/>
      <c r="S45" s="1"/>
      <c r="T45" s="1"/>
      <c r="U45" s="1"/>
      <c r="V45" s="1"/>
      <c r="W45" s="1"/>
      <c r="X45" s="1"/>
      <c r="Y45" s="1"/>
      <c r="Z45" s="1"/>
    </row>
    <row r="46" spans="1:26" ht="17" customHeight="1" thickBot="1" x14ac:dyDescent="0.4">
      <c r="A46" s="4" t="s">
        <v>30</v>
      </c>
      <c r="B46" s="1" t="s">
        <v>61</v>
      </c>
      <c r="C46" s="1" t="s">
        <v>24</v>
      </c>
      <c r="D46" s="1" t="s">
        <v>27</v>
      </c>
      <c r="E46" s="2">
        <v>1227.25</v>
      </c>
      <c r="F46" s="2">
        <v>12</v>
      </c>
      <c r="G46" s="2">
        <v>0.15</v>
      </c>
      <c r="H46" s="3">
        <v>45448</v>
      </c>
      <c r="I46" s="5">
        <v>365.11</v>
      </c>
      <c r="J46" s="2">
        <f>Sales_Data1[[#This Row],[Sales]]*Sales_Data1[[#This Row],[Quantity]]*(1-Sales_Data1[[#This Row],[Discount]])</f>
        <v>12517.949999999999</v>
      </c>
      <c r="K46" s="1"/>
      <c r="L46" s="1"/>
      <c r="M46" s="1"/>
      <c r="N46" s="1"/>
      <c r="O46" s="1"/>
      <c r="P46" s="1"/>
      <c r="Q46" s="1"/>
      <c r="R46" s="1"/>
      <c r="S46" s="1"/>
      <c r="T46" s="1"/>
      <c r="U46" s="1"/>
      <c r="V46" s="1"/>
      <c r="W46" s="1"/>
      <c r="X46" s="1"/>
      <c r="Y46" s="1"/>
      <c r="Z46" s="1"/>
    </row>
    <row r="47" spans="1:26" ht="17" customHeight="1" thickBot="1" x14ac:dyDescent="0.4">
      <c r="A47" s="4" t="s">
        <v>16</v>
      </c>
      <c r="B47" s="1" t="s">
        <v>62</v>
      </c>
      <c r="C47" s="1" t="s">
        <v>34</v>
      </c>
      <c r="D47" s="1" t="s">
        <v>21</v>
      </c>
      <c r="E47" s="2">
        <v>856.7</v>
      </c>
      <c r="F47" s="2">
        <v>2</v>
      </c>
      <c r="G47" s="2">
        <v>0</v>
      </c>
      <c r="H47" s="3">
        <v>45449</v>
      </c>
      <c r="I47" s="5">
        <v>214.18</v>
      </c>
      <c r="J47" s="2">
        <f>Sales_Data1[[#This Row],[Sales]]*Sales_Data1[[#This Row],[Quantity]]*(1-Sales_Data1[[#This Row],[Discount]])</f>
        <v>1713.4</v>
      </c>
      <c r="K47" s="1"/>
      <c r="L47" s="1"/>
      <c r="M47" s="1"/>
      <c r="N47" s="1"/>
      <c r="O47" s="1"/>
      <c r="P47" s="1"/>
      <c r="Q47" s="1"/>
      <c r="R47" s="1"/>
      <c r="S47" s="1"/>
      <c r="T47" s="1"/>
      <c r="U47" s="1"/>
      <c r="V47" s="1"/>
      <c r="W47" s="1"/>
      <c r="X47" s="1"/>
      <c r="Y47" s="1"/>
      <c r="Z47" s="1"/>
    </row>
    <row r="48" spans="1:26" ht="17" customHeight="1" thickBot="1" x14ac:dyDescent="0.4">
      <c r="A48" s="4" t="s">
        <v>54</v>
      </c>
      <c r="B48" s="1" t="s">
        <v>56</v>
      </c>
      <c r="C48" s="1" t="s">
        <v>34</v>
      </c>
      <c r="D48" s="1" t="s">
        <v>39</v>
      </c>
      <c r="E48" s="2">
        <v>1225.42</v>
      </c>
      <c r="F48" s="2">
        <v>8</v>
      </c>
      <c r="G48" s="2">
        <v>0.15</v>
      </c>
      <c r="H48" s="3">
        <v>45449</v>
      </c>
      <c r="I48" s="5">
        <v>468.72</v>
      </c>
      <c r="J48" s="2">
        <f>Sales_Data1[[#This Row],[Sales]]*Sales_Data1[[#This Row],[Quantity]]*(1-Sales_Data1[[#This Row],[Discount]])</f>
        <v>8332.8559999999998</v>
      </c>
      <c r="K48" s="1"/>
      <c r="L48" s="1"/>
      <c r="M48" s="1"/>
      <c r="N48" s="1"/>
      <c r="O48" s="1"/>
      <c r="P48" s="1"/>
      <c r="Q48" s="1"/>
      <c r="R48" s="1"/>
      <c r="S48" s="1"/>
      <c r="T48" s="1"/>
      <c r="U48" s="1"/>
      <c r="V48" s="1"/>
      <c r="W48" s="1"/>
      <c r="X48" s="1"/>
      <c r="Y48" s="1"/>
      <c r="Z48" s="1"/>
    </row>
    <row r="49" spans="1:26" ht="17" customHeight="1" thickBot="1" x14ac:dyDescent="0.4">
      <c r="A49" s="4" t="s">
        <v>63</v>
      </c>
      <c r="B49" s="1" t="s">
        <v>31</v>
      </c>
      <c r="C49" s="1" t="s">
        <v>24</v>
      </c>
      <c r="D49" s="1" t="s">
        <v>39</v>
      </c>
      <c r="E49" s="2">
        <v>1001.57</v>
      </c>
      <c r="F49" s="2">
        <v>12</v>
      </c>
      <c r="G49" s="2">
        <v>0</v>
      </c>
      <c r="H49" s="3">
        <v>45450</v>
      </c>
      <c r="I49" s="5">
        <v>450.71</v>
      </c>
      <c r="J49" s="2">
        <f>Sales_Data1[[#This Row],[Sales]]*Sales_Data1[[#This Row],[Quantity]]*(1-Sales_Data1[[#This Row],[Discount]])</f>
        <v>12018.84</v>
      </c>
      <c r="K49" s="1"/>
      <c r="L49" s="1"/>
      <c r="M49" s="1"/>
      <c r="N49" s="1"/>
      <c r="O49" s="1"/>
      <c r="P49" s="1"/>
      <c r="Q49" s="1"/>
      <c r="R49" s="1"/>
      <c r="S49" s="1"/>
      <c r="T49" s="1"/>
      <c r="U49" s="1"/>
      <c r="V49" s="1"/>
      <c r="W49" s="1"/>
      <c r="X49" s="1"/>
      <c r="Y49" s="1"/>
      <c r="Z49" s="1"/>
    </row>
    <row r="50" spans="1:26" ht="17" customHeight="1" thickBot="1" x14ac:dyDescent="0.4">
      <c r="A50" s="4" t="s">
        <v>57</v>
      </c>
      <c r="B50" s="1" t="s">
        <v>26</v>
      </c>
      <c r="C50" s="1" t="s">
        <v>18</v>
      </c>
      <c r="D50" s="1" t="s">
        <v>27</v>
      </c>
      <c r="E50" s="2">
        <v>1186.8499999999999</v>
      </c>
      <c r="F50" s="2">
        <v>19</v>
      </c>
      <c r="G50" s="2">
        <v>0.2</v>
      </c>
      <c r="H50" s="3">
        <v>45451</v>
      </c>
      <c r="I50" s="5">
        <v>332.32</v>
      </c>
      <c r="J50" s="2">
        <f>Sales_Data1[[#This Row],[Sales]]*Sales_Data1[[#This Row],[Quantity]]*(1-Sales_Data1[[#This Row],[Discount]])</f>
        <v>18040.12</v>
      </c>
      <c r="K50" s="1"/>
      <c r="L50" s="1"/>
      <c r="M50" s="1"/>
      <c r="N50" s="1"/>
      <c r="O50" s="1"/>
      <c r="P50" s="1"/>
      <c r="Q50" s="1"/>
      <c r="R50" s="1"/>
      <c r="S50" s="1"/>
      <c r="T50" s="1"/>
      <c r="U50" s="1"/>
      <c r="V50" s="1"/>
      <c r="W50" s="1"/>
      <c r="X50" s="1"/>
      <c r="Y50" s="1"/>
      <c r="Z50" s="1"/>
    </row>
    <row r="51" spans="1:26" ht="17" customHeight="1" thickBot="1" x14ac:dyDescent="0.4">
      <c r="A51" s="4" t="s">
        <v>44</v>
      </c>
      <c r="B51" s="1" t="s">
        <v>51</v>
      </c>
      <c r="C51" s="1" t="s">
        <v>20</v>
      </c>
      <c r="D51" s="1" t="s">
        <v>21</v>
      </c>
      <c r="E51" s="2">
        <v>775.45</v>
      </c>
      <c r="F51" s="2">
        <v>6</v>
      </c>
      <c r="G51" s="2">
        <v>0.1</v>
      </c>
      <c r="H51" s="3">
        <v>45457</v>
      </c>
      <c r="I51" s="5">
        <v>174.48</v>
      </c>
      <c r="J51" s="2">
        <f>Sales_Data1[[#This Row],[Sales]]*Sales_Data1[[#This Row],[Quantity]]*(1-Sales_Data1[[#This Row],[Discount]])</f>
        <v>4187.4300000000012</v>
      </c>
      <c r="K51" s="1"/>
      <c r="L51" s="1"/>
      <c r="M51" s="1"/>
      <c r="N51" s="1"/>
      <c r="O51" s="1"/>
      <c r="P51" s="1"/>
      <c r="Q51" s="1"/>
      <c r="R51" s="1"/>
      <c r="S51" s="1"/>
      <c r="T51" s="1"/>
      <c r="U51" s="1"/>
      <c r="V51" s="1"/>
      <c r="W51" s="1"/>
      <c r="X51" s="1"/>
      <c r="Y51" s="1"/>
      <c r="Z51" s="1"/>
    </row>
    <row r="52" spans="1:26" ht="17" customHeight="1" thickBot="1" x14ac:dyDescent="0.4">
      <c r="A52" s="4" t="s">
        <v>25</v>
      </c>
      <c r="B52" s="1" t="s">
        <v>33</v>
      </c>
      <c r="C52" s="1" t="s">
        <v>20</v>
      </c>
      <c r="D52" s="1" t="s">
        <v>21</v>
      </c>
      <c r="E52" s="2">
        <v>1021.47</v>
      </c>
      <c r="F52" s="2">
        <v>6</v>
      </c>
      <c r="G52" s="2">
        <v>0.05</v>
      </c>
      <c r="H52" s="3">
        <v>45461</v>
      </c>
      <c r="I52" s="5">
        <v>242.6</v>
      </c>
      <c r="J52" s="2">
        <f>Sales_Data1[[#This Row],[Sales]]*Sales_Data1[[#This Row],[Quantity]]*(1-Sales_Data1[[#This Row],[Discount]])</f>
        <v>5822.3789999999999</v>
      </c>
      <c r="K52" s="1"/>
      <c r="L52" s="1"/>
      <c r="M52" s="1"/>
      <c r="N52" s="1"/>
      <c r="O52" s="1"/>
      <c r="P52" s="1"/>
      <c r="Q52" s="1"/>
      <c r="R52" s="1"/>
      <c r="S52" s="1"/>
      <c r="T52" s="1"/>
      <c r="U52" s="1"/>
      <c r="V52" s="1"/>
      <c r="W52" s="1"/>
      <c r="X52" s="1"/>
      <c r="Y52" s="1"/>
      <c r="Z52" s="1"/>
    </row>
    <row r="53" spans="1:26" ht="17" customHeight="1" thickBot="1" x14ac:dyDescent="0.4">
      <c r="A53" s="4" t="s">
        <v>58</v>
      </c>
      <c r="B53" s="1" t="s">
        <v>23</v>
      </c>
      <c r="C53" s="1" t="s">
        <v>20</v>
      </c>
      <c r="D53" s="1" t="s">
        <v>15</v>
      </c>
      <c r="E53" s="2">
        <v>1226.6199999999999</v>
      </c>
      <c r="F53" s="2">
        <v>7</v>
      </c>
      <c r="G53" s="2">
        <v>0.1</v>
      </c>
      <c r="H53" s="3">
        <v>45463</v>
      </c>
      <c r="I53" s="5">
        <v>551.98</v>
      </c>
      <c r="J53" s="2">
        <f>Sales_Data1[[#This Row],[Sales]]*Sales_Data1[[#This Row],[Quantity]]*(1-Sales_Data1[[#This Row],[Discount]])</f>
        <v>7727.7060000000001</v>
      </c>
      <c r="K53" s="1"/>
      <c r="L53" s="1"/>
      <c r="M53" s="1"/>
      <c r="N53" s="1"/>
      <c r="O53" s="1"/>
      <c r="P53" s="1"/>
      <c r="Q53" s="1"/>
      <c r="R53" s="1"/>
      <c r="S53" s="1"/>
      <c r="T53" s="1"/>
      <c r="U53" s="1"/>
      <c r="V53" s="1"/>
      <c r="W53" s="1"/>
      <c r="X53" s="1"/>
      <c r="Y53" s="1"/>
      <c r="Z53" s="1"/>
    </row>
    <row r="54" spans="1:26" ht="17" customHeight="1" thickBot="1" x14ac:dyDescent="0.4">
      <c r="A54" s="4" t="s">
        <v>22</v>
      </c>
      <c r="B54" s="1" t="s">
        <v>64</v>
      </c>
      <c r="C54" s="1" t="s">
        <v>20</v>
      </c>
      <c r="D54" s="1" t="s">
        <v>27</v>
      </c>
      <c r="E54" s="2">
        <v>1086.93</v>
      </c>
      <c r="F54" s="2">
        <v>2</v>
      </c>
      <c r="G54" s="2">
        <v>0</v>
      </c>
      <c r="H54" s="3">
        <v>45464</v>
      </c>
      <c r="I54" s="5">
        <v>380.43</v>
      </c>
      <c r="J54" s="2">
        <f>Sales_Data1[[#This Row],[Sales]]*Sales_Data1[[#This Row],[Quantity]]*(1-Sales_Data1[[#This Row],[Discount]])</f>
        <v>2173.86</v>
      </c>
      <c r="K54" s="1"/>
      <c r="L54" s="1"/>
      <c r="M54" s="1"/>
      <c r="N54" s="1"/>
      <c r="O54" s="1"/>
      <c r="P54" s="1"/>
      <c r="Q54" s="1"/>
      <c r="R54" s="1"/>
      <c r="S54" s="1"/>
      <c r="T54" s="1"/>
      <c r="U54" s="1"/>
      <c r="V54" s="1"/>
      <c r="W54" s="1"/>
      <c r="X54" s="1"/>
      <c r="Y54" s="1"/>
      <c r="Z54" s="1"/>
    </row>
    <row r="55" spans="1:26" ht="17" customHeight="1" thickBot="1" x14ac:dyDescent="0.4">
      <c r="A55" s="4" t="s">
        <v>65</v>
      </c>
      <c r="B55" s="1" t="s">
        <v>48</v>
      </c>
      <c r="C55" s="1" t="s">
        <v>11</v>
      </c>
      <c r="D55" s="1" t="s">
        <v>12</v>
      </c>
      <c r="E55" s="2">
        <v>942.9</v>
      </c>
      <c r="F55" s="2">
        <v>18</v>
      </c>
      <c r="G55" s="2">
        <v>0.1</v>
      </c>
      <c r="H55" s="3">
        <v>45466</v>
      </c>
      <c r="I55" s="5">
        <v>339.44</v>
      </c>
      <c r="J55" s="2">
        <f>Sales_Data1[[#This Row],[Sales]]*Sales_Data1[[#This Row],[Quantity]]*(1-Sales_Data1[[#This Row],[Discount]])</f>
        <v>15274.980000000001</v>
      </c>
      <c r="K55" s="1"/>
      <c r="L55" s="1"/>
      <c r="M55" s="1"/>
      <c r="N55" s="1"/>
      <c r="O55" s="1"/>
      <c r="P55" s="1"/>
      <c r="Q55" s="1"/>
      <c r="R55" s="1"/>
      <c r="S55" s="1"/>
      <c r="T55" s="1"/>
      <c r="U55" s="1"/>
      <c r="V55" s="1"/>
      <c r="W55" s="1"/>
      <c r="X55" s="1"/>
      <c r="Y55" s="1"/>
      <c r="Z55" s="1"/>
    </row>
    <row r="56" spans="1:26" ht="17" customHeight="1" thickBot="1" x14ac:dyDescent="0.4">
      <c r="A56" s="4" t="s">
        <v>32</v>
      </c>
      <c r="B56" s="1" t="s">
        <v>38</v>
      </c>
      <c r="C56" s="1" t="s">
        <v>24</v>
      </c>
      <c r="D56" s="1" t="s">
        <v>21</v>
      </c>
      <c r="E56" s="2">
        <v>818.8</v>
      </c>
      <c r="F56" s="2">
        <v>15</v>
      </c>
      <c r="G56" s="2">
        <v>0.15</v>
      </c>
      <c r="H56" s="3">
        <v>45468</v>
      </c>
      <c r="I56" s="5">
        <v>173.99</v>
      </c>
      <c r="J56" s="2">
        <f>Sales_Data1[[#This Row],[Sales]]*Sales_Data1[[#This Row],[Quantity]]*(1-Sales_Data1[[#This Row],[Discount]])</f>
        <v>10439.699999999999</v>
      </c>
      <c r="K56" s="1"/>
      <c r="L56" s="1"/>
      <c r="M56" s="1"/>
      <c r="N56" s="1"/>
      <c r="O56" s="1"/>
      <c r="P56" s="1"/>
      <c r="Q56" s="1"/>
      <c r="R56" s="1"/>
      <c r="S56" s="1"/>
      <c r="T56" s="1"/>
      <c r="U56" s="1"/>
      <c r="V56" s="1"/>
      <c r="W56" s="1"/>
      <c r="X56" s="1"/>
      <c r="Y56" s="1"/>
      <c r="Z56" s="1"/>
    </row>
    <row r="57" spans="1:26" ht="17" customHeight="1" thickBot="1" x14ac:dyDescent="0.4">
      <c r="A57" s="4" t="s">
        <v>19</v>
      </c>
      <c r="B57" s="1" t="s">
        <v>14</v>
      </c>
      <c r="C57" s="1" t="s">
        <v>20</v>
      </c>
      <c r="D57" s="1" t="s">
        <v>27</v>
      </c>
      <c r="E57" s="2">
        <v>919.04</v>
      </c>
      <c r="F57" s="2">
        <v>10</v>
      </c>
      <c r="G57" s="2">
        <v>0.2</v>
      </c>
      <c r="H57" s="3">
        <v>45468</v>
      </c>
      <c r="I57" s="5">
        <v>257.33</v>
      </c>
      <c r="J57" s="2">
        <f>Sales_Data1[[#This Row],[Sales]]*Sales_Data1[[#This Row],[Quantity]]*(1-Sales_Data1[[#This Row],[Discount]])</f>
        <v>7352.32</v>
      </c>
      <c r="K57" s="1"/>
      <c r="L57" s="1"/>
      <c r="M57" s="1"/>
      <c r="N57" s="1"/>
      <c r="O57" s="1"/>
      <c r="P57" s="1"/>
      <c r="Q57" s="1"/>
      <c r="R57" s="1"/>
      <c r="S57" s="1"/>
      <c r="T57" s="1"/>
      <c r="U57" s="1"/>
      <c r="V57" s="1"/>
      <c r="W57" s="1"/>
      <c r="X57" s="1"/>
      <c r="Y57" s="1"/>
      <c r="Z57" s="1"/>
    </row>
    <row r="58" spans="1:26" ht="17" customHeight="1" thickBot="1" x14ac:dyDescent="0.4">
      <c r="A58" s="4" t="s">
        <v>22</v>
      </c>
      <c r="B58" s="1" t="s">
        <v>66</v>
      </c>
      <c r="C58" s="1" t="s">
        <v>34</v>
      </c>
      <c r="D58" s="1" t="s">
        <v>12</v>
      </c>
      <c r="E58" s="2">
        <v>973.26</v>
      </c>
      <c r="F58" s="2">
        <v>11</v>
      </c>
      <c r="G58" s="2">
        <v>0</v>
      </c>
      <c r="H58" s="3">
        <v>45470</v>
      </c>
      <c r="I58" s="5">
        <v>389.3</v>
      </c>
      <c r="J58" s="2">
        <f>Sales_Data1[[#This Row],[Sales]]*Sales_Data1[[#This Row],[Quantity]]*(1-Sales_Data1[[#This Row],[Discount]])</f>
        <v>10705.86</v>
      </c>
      <c r="K58" s="1"/>
      <c r="L58" s="1"/>
      <c r="M58" s="1"/>
      <c r="N58" s="1"/>
      <c r="O58" s="1"/>
      <c r="P58" s="1"/>
      <c r="Q58" s="1"/>
      <c r="R58" s="1"/>
      <c r="S58" s="1"/>
      <c r="T58" s="1"/>
      <c r="U58" s="1"/>
      <c r="V58" s="1"/>
      <c r="W58" s="1"/>
      <c r="X58" s="1"/>
      <c r="Y58" s="1"/>
      <c r="Z58" s="1"/>
    </row>
    <row r="59" spans="1:26" ht="17" customHeight="1" thickBot="1" x14ac:dyDescent="0.4">
      <c r="A59" s="4" t="s">
        <v>41</v>
      </c>
      <c r="B59" s="1" t="s">
        <v>64</v>
      </c>
      <c r="C59" s="1" t="s">
        <v>24</v>
      </c>
      <c r="D59" s="1" t="s">
        <v>21</v>
      </c>
      <c r="E59" s="2">
        <v>741.61</v>
      </c>
      <c r="F59" s="2">
        <v>1</v>
      </c>
      <c r="G59" s="2">
        <v>0.2</v>
      </c>
      <c r="H59" s="3">
        <v>45471</v>
      </c>
      <c r="I59" s="5">
        <v>148.32</v>
      </c>
      <c r="J59" s="2">
        <f>Sales_Data1[[#This Row],[Sales]]*Sales_Data1[[#This Row],[Quantity]]*(1-Sales_Data1[[#This Row],[Discount]])</f>
        <v>593.28800000000001</v>
      </c>
      <c r="K59" s="1"/>
      <c r="L59" s="1"/>
      <c r="M59" s="1"/>
      <c r="N59" s="1"/>
      <c r="O59" s="1"/>
      <c r="P59" s="1"/>
      <c r="Q59" s="1"/>
      <c r="R59" s="1"/>
      <c r="S59" s="1"/>
      <c r="T59" s="1"/>
      <c r="U59" s="1"/>
      <c r="V59" s="1"/>
      <c r="W59" s="1"/>
      <c r="X59" s="1"/>
      <c r="Y59" s="1"/>
      <c r="Z59" s="1"/>
    </row>
    <row r="60" spans="1:26" ht="17" customHeight="1" thickBot="1" x14ac:dyDescent="0.4">
      <c r="A60" s="4" t="s">
        <v>67</v>
      </c>
      <c r="B60" s="1" t="s">
        <v>38</v>
      </c>
      <c r="C60" s="1" t="s">
        <v>24</v>
      </c>
      <c r="D60" s="1" t="s">
        <v>12</v>
      </c>
      <c r="E60" s="2">
        <v>1248.82</v>
      </c>
      <c r="F60" s="2">
        <v>2</v>
      </c>
      <c r="G60" s="2">
        <v>0.1</v>
      </c>
      <c r="H60" s="3">
        <v>45473</v>
      </c>
      <c r="I60" s="5">
        <v>449.58</v>
      </c>
      <c r="J60" s="2">
        <f>Sales_Data1[[#This Row],[Sales]]*Sales_Data1[[#This Row],[Quantity]]*(1-Sales_Data1[[#This Row],[Discount]])</f>
        <v>2247.8759999999997</v>
      </c>
      <c r="K60" s="1"/>
      <c r="L60" s="1"/>
      <c r="M60" s="1"/>
      <c r="N60" s="1"/>
      <c r="O60" s="1"/>
      <c r="P60" s="1"/>
      <c r="Q60" s="1"/>
      <c r="R60" s="1"/>
      <c r="S60" s="1"/>
      <c r="T60" s="1"/>
      <c r="U60" s="1"/>
      <c r="V60" s="1"/>
      <c r="W60" s="1"/>
      <c r="X60" s="1"/>
      <c r="Y60" s="1"/>
      <c r="Z60" s="1"/>
    </row>
    <row r="61" spans="1:26" ht="17" customHeight="1" thickBot="1" x14ac:dyDescent="0.4">
      <c r="A61" s="4" t="s">
        <v>13</v>
      </c>
      <c r="B61" s="1" t="s">
        <v>59</v>
      </c>
      <c r="C61" s="1" t="s">
        <v>11</v>
      </c>
      <c r="D61" s="1" t="s">
        <v>15</v>
      </c>
      <c r="E61" s="2">
        <v>1360.36</v>
      </c>
      <c r="F61" s="2">
        <v>17</v>
      </c>
      <c r="G61" s="2">
        <v>0</v>
      </c>
      <c r="H61" s="3">
        <v>45473</v>
      </c>
      <c r="I61" s="5">
        <v>680.18</v>
      </c>
      <c r="J61" s="2">
        <f>Sales_Data1[[#This Row],[Sales]]*Sales_Data1[[#This Row],[Quantity]]*(1-Sales_Data1[[#This Row],[Discount]])</f>
        <v>23126.12</v>
      </c>
      <c r="K61" s="1"/>
      <c r="L61" s="1"/>
      <c r="M61" s="1"/>
      <c r="N61" s="1"/>
      <c r="O61" s="1"/>
      <c r="P61" s="1"/>
      <c r="Q61" s="1"/>
      <c r="R61" s="1"/>
      <c r="S61" s="1"/>
      <c r="T61" s="1"/>
      <c r="U61" s="1"/>
      <c r="V61" s="1"/>
      <c r="W61" s="1"/>
      <c r="X61" s="1"/>
      <c r="Y61" s="1"/>
      <c r="Z61" s="1"/>
    </row>
    <row r="62" spans="1:26" ht="17" customHeight="1" thickBot="1" x14ac:dyDescent="0.4">
      <c r="A62" s="4" t="s">
        <v>57</v>
      </c>
      <c r="B62" s="1" t="s">
        <v>31</v>
      </c>
      <c r="C62" s="1" t="s">
        <v>18</v>
      </c>
      <c r="D62" s="1" t="s">
        <v>12</v>
      </c>
      <c r="E62" s="2">
        <v>1383.3</v>
      </c>
      <c r="F62" s="2">
        <v>8</v>
      </c>
      <c r="G62" s="2">
        <v>0.1</v>
      </c>
      <c r="H62" s="3">
        <v>45478</v>
      </c>
      <c r="I62" s="5">
        <v>497.99</v>
      </c>
      <c r="J62" s="2">
        <f>Sales_Data1[[#This Row],[Sales]]*Sales_Data1[[#This Row],[Quantity]]*(1-Sales_Data1[[#This Row],[Discount]])</f>
        <v>9959.76</v>
      </c>
      <c r="K62" s="1"/>
      <c r="L62" s="1"/>
      <c r="M62" s="1"/>
      <c r="N62" s="1"/>
      <c r="O62" s="1"/>
      <c r="P62" s="1"/>
      <c r="Q62" s="1"/>
      <c r="R62" s="1"/>
      <c r="S62" s="1"/>
      <c r="T62" s="1"/>
      <c r="U62" s="1"/>
      <c r="V62" s="1"/>
      <c r="W62" s="1"/>
      <c r="X62" s="1"/>
      <c r="Y62" s="1"/>
      <c r="Z62" s="1"/>
    </row>
    <row r="63" spans="1:26" ht="17" customHeight="1" thickBot="1" x14ac:dyDescent="0.4">
      <c r="A63" s="4" t="s">
        <v>35</v>
      </c>
      <c r="B63" s="1" t="s">
        <v>55</v>
      </c>
      <c r="C63" s="1" t="s">
        <v>34</v>
      </c>
      <c r="D63" s="1" t="s">
        <v>39</v>
      </c>
      <c r="E63" s="2">
        <v>488.99</v>
      </c>
      <c r="F63" s="2">
        <v>9</v>
      </c>
      <c r="G63" s="2">
        <v>0</v>
      </c>
      <c r="H63" s="3">
        <v>45479</v>
      </c>
      <c r="I63" s="5">
        <v>220.05</v>
      </c>
      <c r="J63" s="2">
        <f>Sales_Data1[[#This Row],[Sales]]*Sales_Data1[[#This Row],[Quantity]]*(1-Sales_Data1[[#This Row],[Discount]])</f>
        <v>4400.91</v>
      </c>
      <c r="K63" s="1"/>
      <c r="L63" s="1"/>
      <c r="M63" s="1"/>
      <c r="N63" s="1"/>
      <c r="O63" s="1"/>
      <c r="P63" s="1"/>
      <c r="Q63" s="1"/>
      <c r="R63" s="1"/>
      <c r="S63" s="1"/>
      <c r="T63" s="1"/>
      <c r="U63" s="1"/>
      <c r="V63" s="1"/>
      <c r="W63" s="1"/>
      <c r="X63" s="1"/>
      <c r="Y63" s="1"/>
      <c r="Z63" s="1"/>
    </row>
    <row r="64" spans="1:26" ht="17" customHeight="1" thickBot="1" x14ac:dyDescent="0.4">
      <c r="A64" s="4" t="s">
        <v>30</v>
      </c>
      <c r="B64" s="1" t="s">
        <v>31</v>
      </c>
      <c r="C64" s="1" t="s">
        <v>18</v>
      </c>
      <c r="D64" s="1" t="s">
        <v>27</v>
      </c>
      <c r="E64" s="2">
        <v>933.71</v>
      </c>
      <c r="F64" s="2">
        <v>17</v>
      </c>
      <c r="G64" s="2">
        <v>0.1</v>
      </c>
      <c r="H64" s="3">
        <v>45481</v>
      </c>
      <c r="I64" s="5">
        <v>294.12</v>
      </c>
      <c r="J64" s="2">
        <f>Sales_Data1[[#This Row],[Sales]]*Sales_Data1[[#This Row],[Quantity]]*(1-Sales_Data1[[#This Row],[Discount]])</f>
        <v>14285.763000000001</v>
      </c>
      <c r="K64" s="1"/>
      <c r="L64" s="1"/>
      <c r="M64" s="1"/>
      <c r="N64" s="1"/>
      <c r="O64" s="1"/>
      <c r="P64" s="1"/>
      <c r="Q64" s="1"/>
      <c r="R64" s="1"/>
      <c r="S64" s="1"/>
      <c r="T64" s="1"/>
      <c r="U64" s="1"/>
      <c r="V64" s="1"/>
      <c r="W64" s="1"/>
      <c r="X64" s="1"/>
      <c r="Y64" s="1"/>
      <c r="Z64" s="1"/>
    </row>
    <row r="65" spans="1:26" ht="17" customHeight="1" thickBot="1" x14ac:dyDescent="0.4">
      <c r="A65" s="4" t="s">
        <v>67</v>
      </c>
      <c r="B65" s="1" t="s">
        <v>10</v>
      </c>
      <c r="C65" s="1" t="s">
        <v>11</v>
      </c>
      <c r="D65" s="1" t="s">
        <v>21</v>
      </c>
      <c r="E65" s="2">
        <v>1005.53</v>
      </c>
      <c r="F65" s="2">
        <v>17</v>
      </c>
      <c r="G65" s="2">
        <v>0.2</v>
      </c>
      <c r="H65" s="3">
        <v>45481</v>
      </c>
      <c r="I65" s="5">
        <v>201.11</v>
      </c>
      <c r="J65" s="2">
        <f>Sales_Data1[[#This Row],[Sales]]*Sales_Data1[[#This Row],[Quantity]]*(1-Sales_Data1[[#This Row],[Discount]])</f>
        <v>13675.207999999999</v>
      </c>
      <c r="K65" s="1"/>
      <c r="L65" s="1"/>
      <c r="M65" s="1"/>
      <c r="N65" s="1"/>
      <c r="O65" s="1"/>
      <c r="P65" s="1"/>
      <c r="Q65" s="1"/>
      <c r="R65" s="1"/>
      <c r="S65" s="1"/>
      <c r="T65" s="1"/>
      <c r="U65" s="1"/>
      <c r="V65" s="1"/>
      <c r="W65" s="1"/>
      <c r="X65" s="1"/>
      <c r="Y65" s="1"/>
      <c r="Z65" s="1"/>
    </row>
    <row r="66" spans="1:26" ht="17" customHeight="1" thickBot="1" x14ac:dyDescent="0.4">
      <c r="A66" s="4" t="s">
        <v>41</v>
      </c>
      <c r="B66" s="1" t="s">
        <v>61</v>
      </c>
      <c r="C66" s="1" t="s">
        <v>20</v>
      </c>
      <c r="D66" s="1" t="s">
        <v>21</v>
      </c>
      <c r="E66" s="2">
        <v>1100.0999999999999</v>
      </c>
      <c r="F66" s="2">
        <v>5</v>
      </c>
      <c r="G66" s="2">
        <v>0.05</v>
      </c>
      <c r="H66" s="3">
        <v>45482</v>
      </c>
      <c r="I66" s="5">
        <v>261.27</v>
      </c>
      <c r="J66" s="2">
        <f>Sales_Data1[[#This Row],[Sales]]*Sales_Data1[[#This Row],[Quantity]]*(1-Sales_Data1[[#This Row],[Discount]])</f>
        <v>5225.4749999999995</v>
      </c>
      <c r="K66" s="1"/>
      <c r="L66" s="1"/>
      <c r="M66" s="1"/>
      <c r="N66" s="1"/>
      <c r="O66" s="1"/>
      <c r="P66" s="1"/>
      <c r="Q66" s="1"/>
      <c r="R66" s="1"/>
      <c r="S66" s="1"/>
      <c r="T66" s="1"/>
      <c r="U66" s="1"/>
      <c r="V66" s="1"/>
      <c r="W66" s="1"/>
      <c r="X66" s="1"/>
      <c r="Y66" s="1"/>
      <c r="Z66" s="1"/>
    </row>
    <row r="67" spans="1:26" ht="17" customHeight="1" thickBot="1" x14ac:dyDescent="0.4">
      <c r="A67" s="4" t="s">
        <v>67</v>
      </c>
      <c r="B67" s="1" t="s">
        <v>23</v>
      </c>
      <c r="C67" s="1" t="s">
        <v>24</v>
      </c>
      <c r="D67" s="1" t="s">
        <v>27</v>
      </c>
      <c r="E67" s="2">
        <v>1034.7</v>
      </c>
      <c r="F67" s="2">
        <v>15</v>
      </c>
      <c r="G67" s="2">
        <v>0.15</v>
      </c>
      <c r="H67" s="3">
        <v>45487</v>
      </c>
      <c r="I67" s="5">
        <v>307.82</v>
      </c>
      <c r="J67" s="2">
        <f>Sales_Data1[[#This Row],[Sales]]*Sales_Data1[[#This Row],[Quantity]]*(1-Sales_Data1[[#This Row],[Discount]])</f>
        <v>13192.424999999999</v>
      </c>
      <c r="K67" s="1"/>
      <c r="L67" s="1"/>
      <c r="M67" s="1"/>
      <c r="N67" s="1"/>
      <c r="O67" s="1"/>
      <c r="P67" s="1"/>
      <c r="Q67" s="1"/>
      <c r="R67" s="1"/>
      <c r="S67" s="1"/>
      <c r="T67" s="1"/>
      <c r="U67" s="1"/>
      <c r="V67" s="1"/>
      <c r="W67" s="1"/>
      <c r="X67" s="1"/>
      <c r="Y67" s="1"/>
      <c r="Z67" s="1"/>
    </row>
    <row r="68" spans="1:26" ht="17" customHeight="1" thickBot="1" x14ac:dyDescent="0.4">
      <c r="A68" s="4" t="s">
        <v>65</v>
      </c>
      <c r="B68" s="1" t="s">
        <v>31</v>
      </c>
      <c r="C68" s="1" t="s">
        <v>20</v>
      </c>
      <c r="D68" s="1" t="s">
        <v>12</v>
      </c>
      <c r="E68" s="2">
        <v>876.44</v>
      </c>
      <c r="F68" s="2">
        <v>12</v>
      </c>
      <c r="G68" s="2">
        <v>0.05</v>
      </c>
      <c r="H68" s="3">
        <v>45488</v>
      </c>
      <c r="I68" s="5">
        <v>333.05</v>
      </c>
      <c r="J68" s="2">
        <f>Sales_Data1[[#This Row],[Sales]]*Sales_Data1[[#This Row],[Quantity]]*(1-Sales_Data1[[#This Row],[Discount]])</f>
        <v>9991.4159999999993</v>
      </c>
      <c r="K68" s="1"/>
      <c r="L68" s="1"/>
      <c r="M68" s="1"/>
      <c r="N68" s="1"/>
      <c r="O68" s="1"/>
      <c r="P68" s="1"/>
      <c r="Q68" s="1"/>
      <c r="R68" s="1"/>
      <c r="S68" s="1"/>
      <c r="T68" s="1"/>
      <c r="U68" s="1"/>
      <c r="V68" s="1"/>
      <c r="W68" s="1"/>
      <c r="X68" s="1"/>
      <c r="Y68" s="1"/>
      <c r="Z68" s="1"/>
    </row>
    <row r="69" spans="1:26" ht="17" customHeight="1" thickBot="1" x14ac:dyDescent="0.4">
      <c r="A69" s="4" t="s">
        <v>68</v>
      </c>
      <c r="B69" s="1" t="s">
        <v>55</v>
      </c>
      <c r="C69" s="1" t="s">
        <v>11</v>
      </c>
      <c r="D69" s="1" t="s">
        <v>27</v>
      </c>
      <c r="E69" s="2">
        <v>1371.34</v>
      </c>
      <c r="F69" s="2">
        <v>5</v>
      </c>
      <c r="G69" s="2">
        <v>0.05</v>
      </c>
      <c r="H69" s="3">
        <v>45488</v>
      </c>
      <c r="I69" s="5">
        <v>455.97</v>
      </c>
      <c r="J69" s="2">
        <f>Sales_Data1[[#This Row],[Sales]]*Sales_Data1[[#This Row],[Quantity]]*(1-Sales_Data1[[#This Row],[Discount]])</f>
        <v>6513.8649999999998</v>
      </c>
      <c r="K69" s="1"/>
      <c r="L69" s="1"/>
      <c r="M69" s="1"/>
      <c r="N69" s="1"/>
      <c r="O69" s="1"/>
      <c r="P69" s="1"/>
      <c r="Q69" s="1"/>
      <c r="R69" s="1"/>
      <c r="S69" s="1"/>
      <c r="T69" s="1"/>
      <c r="U69" s="1"/>
      <c r="V69" s="1"/>
      <c r="W69" s="1"/>
      <c r="X69" s="1"/>
      <c r="Y69" s="1"/>
      <c r="Z69" s="1"/>
    </row>
    <row r="70" spans="1:26" ht="17" customHeight="1" thickBot="1" x14ac:dyDescent="0.4">
      <c r="A70" s="4" t="s">
        <v>57</v>
      </c>
      <c r="B70" s="1" t="s">
        <v>47</v>
      </c>
      <c r="C70" s="1" t="s">
        <v>24</v>
      </c>
      <c r="D70" s="1" t="s">
        <v>21</v>
      </c>
      <c r="E70" s="2">
        <v>1020.26</v>
      </c>
      <c r="F70" s="2">
        <v>11</v>
      </c>
      <c r="G70" s="2">
        <v>0.05</v>
      </c>
      <c r="H70" s="3">
        <v>45494</v>
      </c>
      <c r="I70" s="5">
        <v>242.31</v>
      </c>
      <c r="J70" s="2">
        <f>Sales_Data1[[#This Row],[Sales]]*Sales_Data1[[#This Row],[Quantity]]*(1-Sales_Data1[[#This Row],[Discount]])</f>
        <v>10661.717000000001</v>
      </c>
      <c r="K70" s="1"/>
      <c r="L70" s="1"/>
      <c r="M70" s="1"/>
      <c r="N70" s="1"/>
      <c r="O70" s="1"/>
      <c r="P70" s="1"/>
      <c r="Q70" s="1"/>
      <c r="R70" s="1"/>
      <c r="S70" s="1"/>
      <c r="T70" s="1"/>
      <c r="U70" s="1"/>
      <c r="V70" s="1"/>
      <c r="W70" s="1"/>
      <c r="X70" s="1"/>
      <c r="Y70" s="1"/>
      <c r="Z70" s="1"/>
    </row>
    <row r="71" spans="1:26" ht="17" customHeight="1" thickBot="1" x14ac:dyDescent="0.4">
      <c r="A71" s="4" t="s">
        <v>44</v>
      </c>
      <c r="B71" s="1" t="s">
        <v>10</v>
      </c>
      <c r="C71" s="1" t="s">
        <v>34</v>
      </c>
      <c r="D71" s="1" t="s">
        <v>39</v>
      </c>
      <c r="E71" s="2">
        <v>804.81</v>
      </c>
      <c r="F71" s="2">
        <v>1</v>
      </c>
      <c r="G71" s="2">
        <v>0.05</v>
      </c>
      <c r="H71" s="3">
        <v>45502</v>
      </c>
      <c r="I71" s="5">
        <v>344.06</v>
      </c>
      <c r="J71" s="2">
        <f>Sales_Data1[[#This Row],[Sales]]*Sales_Data1[[#This Row],[Quantity]]*(1-Sales_Data1[[#This Row],[Discount]])</f>
        <v>764.56949999999995</v>
      </c>
      <c r="K71" s="1"/>
      <c r="L71" s="1"/>
      <c r="M71" s="1"/>
      <c r="N71" s="1"/>
      <c r="O71" s="1"/>
      <c r="P71" s="1"/>
      <c r="Q71" s="1"/>
      <c r="R71" s="1"/>
      <c r="S71" s="1"/>
      <c r="T71" s="1"/>
      <c r="U71" s="1"/>
      <c r="V71" s="1"/>
      <c r="W71" s="1"/>
      <c r="X71" s="1"/>
      <c r="Y71" s="1"/>
      <c r="Z71" s="1"/>
    </row>
    <row r="72" spans="1:26" ht="17" customHeight="1" thickBot="1" x14ac:dyDescent="0.4">
      <c r="A72" s="4" t="s">
        <v>22</v>
      </c>
      <c r="B72" s="1" t="s">
        <v>55</v>
      </c>
      <c r="C72" s="1" t="s">
        <v>34</v>
      </c>
      <c r="D72" s="1" t="s">
        <v>21</v>
      </c>
      <c r="E72" s="2">
        <v>608.66</v>
      </c>
      <c r="F72" s="2">
        <v>1</v>
      </c>
      <c r="G72" s="2">
        <v>0.05</v>
      </c>
      <c r="H72" s="3">
        <v>45503</v>
      </c>
      <c r="I72" s="5">
        <v>144.56</v>
      </c>
      <c r="J72" s="2">
        <f>Sales_Data1[[#This Row],[Sales]]*Sales_Data1[[#This Row],[Quantity]]*(1-Sales_Data1[[#This Row],[Discount]])</f>
        <v>578.22699999999998</v>
      </c>
      <c r="K72" s="1"/>
      <c r="L72" s="1"/>
      <c r="M72" s="1"/>
      <c r="N72" s="1"/>
      <c r="O72" s="1"/>
      <c r="P72" s="1"/>
      <c r="Q72" s="1"/>
      <c r="R72" s="1"/>
      <c r="S72" s="1"/>
      <c r="T72" s="1"/>
      <c r="U72" s="1"/>
      <c r="V72" s="1"/>
      <c r="W72" s="1"/>
      <c r="X72" s="1"/>
      <c r="Y72" s="1"/>
      <c r="Z72" s="1"/>
    </row>
    <row r="73" spans="1:26" ht="17" customHeight="1" thickBot="1" x14ac:dyDescent="0.4">
      <c r="A73" s="4" t="s">
        <v>68</v>
      </c>
      <c r="B73" s="1" t="s">
        <v>69</v>
      </c>
      <c r="C73" s="1" t="s">
        <v>20</v>
      </c>
      <c r="D73" s="1" t="s">
        <v>39</v>
      </c>
      <c r="E73" s="2">
        <v>981.2</v>
      </c>
      <c r="F73" s="2">
        <v>19</v>
      </c>
      <c r="G73" s="2">
        <v>0</v>
      </c>
      <c r="H73" s="3">
        <v>45504</v>
      </c>
      <c r="I73" s="5">
        <v>441.54</v>
      </c>
      <c r="J73" s="2">
        <f>Sales_Data1[[#This Row],[Sales]]*Sales_Data1[[#This Row],[Quantity]]*(1-Sales_Data1[[#This Row],[Discount]])</f>
        <v>18642.8</v>
      </c>
      <c r="K73" s="1"/>
      <c r="L73" s="1"/>
      <c r="M73" s="1"/>
      <c r="N73" s="1"/>
      <c r="O73" s="1"/>
      <c r="P73" s="1"/>
      <c r="Q73" s="1"/>
      <c r="R73" s="1"/>
      <c r="S73" s="1"/>
      <c r="T73" s="1"/>
      <c r="U73" s="1"/>
      <c r="V73" s="1"/>
      <c r="W73" s="1"/>
      <c r="X73" s="1"/>
      <c r="Y73" s="1"/>
      <c r="Z73" s="1"/>
    </row>
    <row r="74" spans="1:26" ht="17" customHeight="1" thickBot="1" x14ac:dyDescent="0.4">
      <c r="A74" s="4" t="s">
        <v>70</v>
      </c>
      <c r="B74" s="1" t="s">
        <v>55</v>
      </c>
      <c r="C74" s="1" t="s">
        <v>18</v>
      </c>
      <c r="D74" s="1" t="s">
        <v>21</v>
      </c>
      <c r="E74" s="2">
        <v>539.77</v>
      </c>
      <c r="F74" s="2">
        <v>10</v>
      </c>
      <c r="G74" s="2">
        <v>0.15</v>
      </c>
      <c r="H74" s="3">
        <v>45509</v>
      </c>
      <c r="I74" s="5">
        <v>114.7</v>
      </c>
      <c r="J74" s="2">
        <f>Sales_Data1[[#This Row],[Sales]]*Sales_Data1[[#This Row],[Quantity]]*(1-Sales_Data1[[#This Row],[Discount]])</f>
        <v>4588.0450000000001</v>
      </c>
      <c r="K74" s="1"/>
      <c r="L74" s="1"/>
      <c r="M74" s="1"/>
      <c r="N74" s="1"/>
      <c r="O74" s="1"/>
      <c r="P74" s="1"/>
      <c r="Q74" s="1"/>
      <c r="R74" s="1"/>
      <c r="S74" s="1"/>
      <c r="T74" s="1"/>
      <c r="U74" s="1"/>
      <c r="V74" s="1"/>
      <c r="W74" s="1"/>
      <c r="X74" s="1"/>
      <c r="Y74" s="1"/>
      <c r="Z74" s="1"/>
    </row>
    <row r="75" spans="1:26" ht="17" customHeight="1" thickBot="1" x14ac:dyDescent="0.4">
      <c r="A75" s="4" t="s">
        <v>13</v>
      </c>
      <c r="B75" s="1" t="s">
        <v>71</v>
      </c>
      <c r="C75" s="1" t="s">
        <v>20</v>
      </c>
      <c r="D75" s="1" t="s">
        <v>12</v>
      </c>
      <c r="E75" s="2">
        <v>804.45</v>
      </c>
      <c r="F75" s="2">
        <v>5</v>
      </c>
      <c r="G75" s="2">
        <v>0.2</v>
      </c>
      <c r="H75" s="3">
        <v>45509</v>
      </c>
      <c r="I75" s="5">
        <v>257.42</v>
      </c>
      <c r="J75" s="2">
        <f>Sales_Data1[[#This Row],[Sales]]*Sales_Data1[[#This Row],[Quantity]]*(1-Sales_Data1[[#This Row],[Discount]])</f>
        <v>3217.8</v>
      </c>
      <c r="K75" s="1"/>
      <c r="L75" s="1"/>
      <c r="M75" s="1"/>
      <c r="N75" s="1"/>
      <c r="O75" s="1"/>
      <c r="P75" s="1"/>
      <c r="Q75" s="1"/>
      <c r="R75" s="1"/>
      <c r="S75" s="1"/>
      <c r="T75" s="1"/>
      <c r="U75" s="1"/>
      <c r="V75" s="1"/>
      <c r="W75" s="1"/>
      <c r="X75" s="1"/>
      <c r="Y75" s="1"/>
      <c r="Z75" s="1"/>
    </row>
    <row r="76" spans="1:26" ht="17" customHeight="1" thickBot="1" x14ac:dyDescent="0.4">
      <c r="A76" s="4" t="s">
        <v>70</v>
      </c>
      <c r="B76" s="1" t="s">
        <v>38</v>
      </c>
      <c r="C76" s="1" t="s">
        <v>11</v>
      </c>
      <c r="D76" s="1" t="s">
        <v>21</v>
      </c>
      <c r="E76" s="2">
        <v>1526.6</v>
      </c>
      <c r="F76" s="2">
        <v>13</v>
      </c>
      <c r="G76" s="2">
        <v>0.2</v>
      </c>
      <c r="H76" s="3">
        <v>45512</v>
      </c>
      <c r="I76" s="5">
        <v>305.32</v>
      </c>
      <c r="J76" s="2">
        <f>Sales_Data1[[#This Row],[Sales]]*Sales_Data1[[#This Row],[Quantity]]*(1-Sales_Data1[[#This Row],[Discount]])</f>
        <v>15876.64</v>
      </c>
      <c r="K76" s="1"/>
      <c r="L76" s="1"/>
      <c r="M76" s="1"/>
      <c r="N76" s="1"/>
      <c r="O76" s="1"/>
      <c r="P76" s="1"/>
      <c r="Q76" s="1"/>
      <c r="R76" s="1"/>
      <c r="S76" s="1"/>
      <c r="T76" s="1"/>
      <c r="U76" s="1"/>
      <c r="V76" s="1"/>
      <c r="W76" s="1"/>
      <c r="X76" s="1"/>
      <c r="Y76" s="1"/>
      <c r="Z76" s="1"/>
    </row>
    <row r="77" spans="1:26" ht="17" customHeight="1" thickBot="1" x14ac:dyDescent="0.4">
      <c r="A77" s="4" t="s">
        <v>13</v>
      </c>
      <c r="B77" s="1" t="s">
        <v>29</v>
      </c>
      <c r="C77" s="1" t="s">
        <v>11</v>
      </c>
      <c r="D77" s="1" t="s">
        <v>21</v>
      </c>
      <c r="E77" s="2">
        <v>1215.26</v>
      </c>
      <c r="F77" s="2">
        <v>5</v>
      </c>
      <c r="G77" s="2">
        <v>0.15</v>
      </c>
      <c r="H77" s="3">
        <v>45513</v>
      </c>
      <c r="I77" s="5">
        <v>258.24</v>
      </c>
      <c r="J77" s="2">
        <f>Sales_Data1[[#This Row],[Sales]]*Sales_Data1[[#This Row],[Quantity]]*(1-Sales_Data1[[#This Row],[Discount]])</f>
        <v>5164.8550000000005</v>
      </c>
      <c r="K77" s="1"/>
      <c r="L77" s="1"/>
      <c r="M77" s="1"/>
      <c r="N77" s="1"/>
      <c r="O77" s="1"/>
      <c r="P77" s="1"/>
      <c r="Q77" s="1"/>
      <c r="R77" s="1"/>
      <c r="S77" s="1"/>
      <c r="T77" s="1"/>
      <c r="U77" s="1"/>
      <c r="V77" s="1"/>
      <c r="W77" s="1"/>
      <c r="X77" s="1"/>
      <c r="Y77" s="1"/>
      <c r="Z77" s="1"/>
    </row>
    <row r="78" spans="1:26" ht="17" customHeight="1" thickBot="1" x14ac:dyDescent="0.4">
      <c r="A78" s="4" t="s">
        <v>19</v>
      </c>
      <c r="B78" s="1" t="s">
        <v>53</v>
      </c>
      <c r="C78" s="1" t="s">
        <v>34</v>
      </c>
      <c r="D78" s="1" t="s">
        <v>27</v>
      </c>
      <c r="E78" s="2">
        <v>1261.3399999999999</v>
      </c>
      <c r="F78" s="2">
        <v>3</v>
      </c>
      <c r="G78" s="2">
        <v>0</v>
      </c>
      <c r="H78" s="3">
        <v>45519</v>
      </c>
      <c r="I78" s="5">
        <v>441.47</v>
      </c>
      <c r="J78" s="2">
        <f>Sales_Data1[[#This Row],[Sales]]*Sales_Data1[[#This Row],[Quantity]]*(1-Sales_Data1[[#This Row],[Discount]])</f>
        <v>3784.0199999999995</v>
      </c>
      <c r="K78" s="1"/>
      <c r="L78" s="1"/>
      <c r="M78" s="1"/>
      <c r="N78" s="1"/>
      <c r="O78" s="1"/>
      <c r="P78" s="1"/>
      <c r="Q78" s="1"/>
      <c r="R78" s="1"/>
      <c r="S78" s="1"/>
      <c r="T78" s="1"/>
      <c r="U78" s="1"/>
      <c r="V78" s="1"/>
      <c r="W78" s="1"/>
      <c r="X78" s="1"/>
      <c r="Y78" s="1"/>
      <c r="Z78" s="1"/>
    </row>
    <row r="79" spans="1:26" ht="17" customHeight="1" thickBot="1" x14ac:dyDescent="0.4">
      <c r="A79" s="4" t="s">
        <v>72</v>
      </c>
      <c r="B79" s="1" t="s">
        <v>45</v>
      </c>
      <c r="C79" s="1" t="s">
        <v>24</v>
      </c>
      <c r="D79" s="1" t="s">
        <v>27</v>
      </c>
      <c r="E79" s="2">
        <v>518.07000000000005</v>
      </c>
      <c r="F79" s="2">
        <v>7</v>
      </c>
      <c r="G79" s="2">
        <v>0.05</v>
      </c>
      <c r="H79" s="3">
        <v>45522</v>
      </c>
      <c r="I79" s="5">
        <v>172.26</v>
      </c>
      <c r="J79" s="2">
        <f>Sales_Data1[[#This Row],[Sales]]*Sales_Data1[[#This Row],[Quantity]]*(1-Sales_Data1[[#This Row],[Discount]])</f>
        <v>3445.1655000000001</v>
      </c>
      <c r="K79" s="1"/>
      <c r="L79" s="1"/>
      <c r="M79" s="1"/>
      <c r="N79" s="1"/>
      <c r="O79" s="1"/>
      <c r="P79" s="1"/>
      <c r="Q79" s="1"/>
      <c r="R79" s="1"/>
      <c r="S79" s="1"/>
      <c r="T79" s="1"/>
      <c r="U79" s="1"/>
      <c r="V79" s="1"/>
      <c r="W79" s="1"/>
      <c r="X79" s="1"/>
      <c r="Y79" s="1"/>
      <c r="Z79" s="1"/>
    </row>
    <row r="80" spans="1:26" ht="17" customHeight="1" thickBot="1" x14ac:dyDescent="0.4">
      <c r="A80" s="4" t="s">
        <v>30</v>
      </c>
      <c r="B80" s="1" t="s">
        <v>29</v>
      </c>
      <c r="C80" s="1" t="s">
        <v>11</v>
      </c>
      <c r="D80" s="1" t="s">
        <v>39</v>
      </c>
      <c r="E80" s="2">
        <v>1111.3399999999999</v>
      </c>
      <c r="F80" s="2">
        <v>1</v>
      </c>
      <c r="G80" s="2">
        <v>0</v>
      </c>
      <c r="H80" s="3">
        <v>45523</v>
      </c>
      <c r="I80" s="5">
        <v>500.1</v>
      </c>
      <c r="J80" s="2">
        <f>Sales_Data1[[#This Row],[Sales]]*Sales_Data1[[#This Row],[Quantity]]*(1-Sales_Data1[[#This Row],[Discount]])</f>
        <v>1111.3399999999999</v>
      </c>
      <c r="K80" s="1"/>
      <c r="L80" s="1"/>
      <c r="M80" s="1"/>
      <c r="N80" s="1"/>
      <c r="O80" s="1"/>
      <c r="P80" s="1"/>
      <c r="Q80" s="1"/>
      <c r="R80" s="1"/>
      <c r="S80" s="1"/>
      <c r="T80" s="1"/>
      <c r="U80" s="1"/>
      <c r="V80" s="1"/>
      <c r="W80" s="1"/>
      <c r="X80" s="1"/>
      <c r="Y80" s="1"/>
      <c r="Z80" s="1"/>
    </row>
    <row r="81" spans="1:26" ht="17" customHeight="1" thickBot="1" x14ac:dyDescent="0.4">
      <c r="A81" s="4" t="s">
        <v>22</v>
      </c>
      <c r="B81" s="1" t="s">
        <v>31</v>
      </c>
      <c r="C81" s="1" t="s">
        <v>18</v>
      </c>
      <c r="D81" s="1" t="s">
        <v>15</v>
      </c>
      <c r="E81" s="2">
        <v>1291.47</v>
      </c>
      <c r="F81" s="2">
        <v>18</v>
      </c>
      <c r="G81" s="2">
        <v>0.1</v>
      </c>
      <c r="H81" s="3">
        <v>45526</v>
      </c>
      <c r="I81" s="5">
        <v>581.16</v>
      </c>
      <c r="J81" s="2">
        <f>Sales_Data1[[#This Row],[Sales]]*Sales_Data1[[#This Row],[Quantity]]*(1-Sales_Data1[[#This Row],[Discount]])</f>
        <v>20921.813999999998</v>
      </c>
      <c r="K81" s="1"/>
      <c r="L81" s="1"/>
      <c r="M81" s="1"/>
      <c r="N81" s="1"/>
      <c r="O81" s="1"/>
      <c r="P81" s="1"/>
      <c r="Q81" s="1"/>
      <c r="R81" s="1"/>
      <c r="S81" s="1"/>
      <c r="T81" s="1"/>
      <c r="U81" s="1"/>
      <c r="V81" s="1"/>
      <c r="W81" s="1"/>
      <c r="X81" s="1"/>
      <c r="Y81" s="1"/>
      <c r="Z81" s="1"/>
    </row>
    <row r="82" spans="1:26" ht="17" customHeight="1" thickBot="1" x14ac:dyDescent="0.4">
      <c r="A82" s="4" t="s">
        <v>25</v>
      </c>
      <c r="B82" s="1" t="s">
        <v>55</v>
      </c>
      <c r="C82" s="1" t="s">
        <v>24</v>
      </c>
      <c r="D82" s="1" t="s">
        <v>12</v>
      </c>
      <c r="E82" s="2">
        <v>679.71</v>
      </c>
      <c r="F82" s="2">
        <v>19</v>
      </c>
      <c r="G82" s="2">
        <v>0</v>
      </c>
      <c r="H82" s="3">
        <v>45534</v>
      </c>
      <c r="I82" s="5">
        <v>271.88</v>
      </c>
      <c r="J82" s="2">
        <f>Sales_Data1[[#This Row],[Sales]]*Sales_Data1[[#This Row],[Quantity]]*(1-Sales_Data1[[#This Row],[Discount]])</f>
        <v>12914.490000000002</v>
      </c>
      <c r="K82" s="1"/>
      <c r="L82" s="1"/>
      <c r="M82" s="1"/>
      <c r="N82" s="1"/>
      <c r="O82" s="1"/>
      <c r="P82" s="1"/>
      <c r="Q82" s="1"/>
      <c r="R82" s="1"/>
      <c r="S82" s="1"/>
      <c r="T82" s="1"/>
      <c r="U82" s="1"/>
      <c r="V82" s="1"/>
      <c r="W82" s="1"/>
      <c r="X82" s="1"/>
      <c r="Y82" s="1"/>
      <c r="Z82" s="1"/>
    </row>
    <row r="83" spans="1:26" ht="17" customHeight="1" thickBot="1" x14ac:dyDescent="0.4">
      <c r="A83" s="4" t="s">
        <v>68</v>
      </c>
      <c r="B83" s="1" t="s">
        <v>33</v>
      </c>
      <c r="C83" s="1" t="s">
        <v>18</v>
      </c>
      <c r="D83" s="1" t="s">
        <v>27</v>
      </c>
      <c r="E83" s="2">
        <v>1143.69</v>
      </c>
      <c r="F83" s="2">
        <v>17</v>
      </c>
      <c r="G83" s="2">
        <v>0</v>
      </c>
      <c r="H83" s="3">
        <v>45534</v>
      </c>
      <c r="I83" s="5">
        <v>400.29</v>
      </c>
      <c r="J83" s="2">
        <f>Sales_Data1[[#This Row],[Sales]]*Sales_Data1[[#This Row],[Quantity]]*(1-Sales_Data1[[#This Row],[Discount]])</f>
        <v>19442.73</v>
      </c>
      <c r="K83" s="1"/>
      <c r="L83" s="1"/>
      <c r="M83" s="1"/>
      <c r="N83" s="1"/>
      <c r="O83" s="1"/>
      <c r="P83" s="1"/>
      <c r="Q83" s="1"/>
      <c r="R83" s="1"/>
      <c r="S83" s="1"/>
      <c r="T83" s="1"/>
      <c r="U83" s="1"/>
      <c r="V83" s="1"/>
      <c r="W83" s="1"/>
      <c r="X83" s="1"/>
      <c r="Y83" s="1"/>
      <c r="Z83" s="1"/>
    </row>
    <row r="84" spans="1:26" ht="17" customHeight="1" thickBot="1" x14ac:dyDescent="0.4">
      <c r="A84" s="4" t="s">
        <v>52</v>
      </c>
      <c r="B84" s="1" t="s">
        <v>50</v>
      </c>
      <c r="C84" s="1" t="s">
        <v>34</v>
      </c>
      <c r="D84" s="1" t="s">
        <v>21</v>
      </c>
      <c r="E84" s="2">
        <v>790.08</v>
      </c>
      <c r="F84" s="2">
        <v>7</v>
      </c>
      <c r="G84" s="2">
        <v>0.1</v>
      </c>
      <c r="H84" s="3">
        <v>45536</v>
      </c>
      <c r="I84" s="5">
        <v>177.77</v>
      </c>
      <c r="J84" s="2">
        <f>Sales_Data1[[#This Row],[Sales]]*Sales_Data1[[#This Row],[Quantity]]*(1-Sales_Data1[[#This Row],[Discount]])</f>
        <v>4977.5040000000008</v>
      </c>
      <c r="K84" s="1"/>
      <c r="L84" s="1"/>
      <c r="M84" s="1"/>
      <c r="N84" s="1"/>
      <c r="O84" s="1"/>
      <c r="P84" s="1"/>
      <c r="Q84" s="1"/>
      <c r="R84" s="1"/>
      <c r="S84" s="1"/>
      <c r="T84" s="1"/>
      <c r="U84" s="1"/>
      <c r="V84" s="1"/>
      <c r="W84" s="1"/>
      <c r="X84" s="1"/>
      <c r="Y84" s="1"/>
      <c r="Z84" s="1"/>
    </row>
    <row r="85" spans="1:26" ht="17" customHeight="1" thickBot="1" x14ac:dyDescent="0.4">
      <c r="A85" s="4" t="s">
        <v>19</v>
      </c>
      <c r="B85" s="1" t="s">
        <v>48</v>
      </c>
      <c r="C85" s="1" t="s">
        <v>34</v>
      </c>
      <c r="D85" s="1" t="s">
        <v>12</v>
      </c>
      <c r="E85" s="2">
        <v>1070.68</v>
      </c>
      <c r="F85" s="2">
        <v>7</v>
      </c>
      <c r="G85" s="2">
        <v>0.05</v>
      </c>
      <c r="H85" s="3">
        <v>45536</v>
      </c>
      <c r="I85" s="5">
        <v>406.86</v>
      </c>
      <c r="J85" s="2">
        <f>Sales_Data1[[#This Row],[Sales]]*Sales_Data1[[#This Row],[Quantity]]*(1-Sales_Data1[[#This Row],[Discount]])</f>
        <v>7120.0219999999999</v>
      </c>
      <c r="K85" s="1"/>
      <c r="L85" s="1"/>
      <c r="M85" s="1"/>
      <c r="N85" s="1"/>
      <c r="O85" s="1"/>
      <c r="P85" s="1"/>
      <c r="Q85" s="1"/>
      <c r="R85" s="1"/>
      <c r="S85" s="1"/>
      <c r="T85" s="1"/>
      <c r="U85" s="1"/>
      <c r="V85" s="1"/>
      <c r="W85" s="1"/>
      <c r="X85" s="1"/>
      <c r="Y85" s="1"/>
      <c r="Z85" s="1"/>
    </row>
    <row r="86" spans="1:26" ht="17" customHeight="1" thickBot="1" x14ac:dyDescent="0.4">
      <c r="A86" s="4" t="s">
        <v>58</v>
      </c>
      <c r="B86" s="1" t="s">
        <v>36</v>
      </c>
      <c r="C86" s="1" t="s">
        <v>11</v>
      </c>
      <c r="D86" s="1" t="s">
        <v>15</v>
      </c>
      <c r="E86" s="2">
        <v>1168.8900000000001</v>
      </c>
      <c r="F86" s="2">
        <v>4</v>
      </c>
      <c r="G86" s="2">
        <v>0.1</v>
      </c>
      <c r="H86" s="3">
        <v>45544</v>
      </c>
      <c r="I86" s="5">
        <v>526</v>
      </c>
      <c r="J86" s="2">
        <f>Sales_Data1[[#This Row],[Sales]]*Sales_Data1[[#This Row],[Quantity]]*(1-Sales_Data1[[#This Row],[Discount]])</f>
        <v>4208.0040000000008</v>
      </c>
      <c r="K86" s="1"/>
      <c r="L86" s="1"/>
      <c r="M86" s="1"/>
      <c r="N86" s="1"/>
      <c r="O86" s="1"/>
      <c r="P86" s="1"/>
      <c r="Q86" s="1"/>
      <c r="R86" s="1"/>
      <c r="S86" s="1"/>
      <c r="T86" s="1"/>
      <c r="U86" s="1"/>
      <c r="V86" s="1"/>
      <c r="W86" s="1"/>
      <c r="X86" s="1"/>
      <c r="Y86" s="1"/>
      <c r="Z86" s="1"/>
    </row>
    <row r="87" spans="1:26" ht="17" customHeight="1" thickBot="1" x14ac:dyDescent="0.4">
      <c r="A87" s="4" t="s">
        <v>67</v>
      </c>
      <c r="B87" s="1" t="s">
        <v>10</v>
      </c>
      <c r="C87" s="1" t="s">
        <v>20</v>
      </c>
      <c r="D87" s="1" t="s">
        <v>21</v>
      </c>
      <c r="E87" s="2">
        <v>1335.87</v>
      </c>
      <c r="F87" s="2">
        <v>17</v>
      </c>
      <c r="G87" s="2">
        <v>0</v>
      </c>
      <c r="H87" s="3">
        <v>45544</v>
      </c>
      <c r="I87" s="5">
        <v>333.97</v>
      </c>
      <c r="J87" s="2">
        <f>Sales_Data1[[#This Row],[Sales]]*Sales_Data1[[#This Row],[Quantity]]*(1-Sales_Data1[[#This Row],[Discount]])</f>
        <v>22709.789999999997</v>
      </c>
      <c r="K87" s="1"/>
      <c r="L87" s="1"/>
      <c r="M87" s="1"/>
      <c r="N87" s="1"/>
      <c r="O87" s="1"/>
      <c r="P87" s="1"/>
      <c r="Q87" s="1"/>
      <c r="R87" s="1"/>
      <c r="S87" s="1"/>
      <c r="T87" s="1"/>
      <c r="U87" s="1"/>
      <c r="V87" s="1"/>
      <c r="W87" s="1"/>
      <c r="X87" s="1"/>
      <c r="Y87" s="1"/>
      <c r="Z87" s="1"/>
    </row>
    <row r="88" spans="1:26" ht="17" customHeight="1" thickBot="1" x14ac:dyDescent="0.4">
      <c r="A88" s="4" t="s">
        <v>40</v>
      </c>
      <c r="B88" s="1" t="s">
        <v>55</v>
      </c>
      <c r="C88" s="1" t="s">
        <v>18</v>
      </c>
      <c r="D88" s="1" t="s">
        <v>27</v>
      </c>
      <c r="E88" s="2">
        <v>873.7</v>
      </c>
      <c r="F88" s="2">
        <v>9</v>
      </c>
      <c r="G88" s="2">
        <v>0</v>
      </c>
      <c r="H88" s="3">
        <v>45546</v>
      </c>
      <c r="I88" s="5">
        <v>305.8</v>
      </c>
      <c r="J88" s="2">
        <f>Sales_Data1[[#This Row],[Sales]]*Sales_Data1[[#This Row],[Quantity]]*(1-Sales_Data1[[#This Row],[Discount]])</f>
        <v>7863.3</v>
      </c>
      <c r="K88" s="1"/>
      <c r="L88" s="1"/>
      <c r="M88" s="1"/>
      <c r="N88" s="1"/>
      <c r="O88" s="1"/>
      <c r="P88" s="1"/>
      <c r="Q88" s="1"/>
      <c r="R88" s="1"/>
      <c r="S88" s="1"/>
      <c r="T88" s="1"/>
      <c r="U88" s="1"/>
      <c r="V88" s="1"/>
      <c r="W88" s="1"/>
      <c r="X88" s="1"/>
      <c r="Y88" s="1"/>
      <c r="Z88" s="1"/>
    </row>
    <row r="89" spans="1:26" ht="17" customHeight="1" thickBot="1" x14ac:dyDescent="0.4">
      <c r="A89" s="4" t="s">
        <v>72</v>
      </c>
      <c r="B89" s="1" t="s">
        <v>64</v>
      </c>
      <c r="C89" s="1" t="s">
        <v>11</v>
      </c>
      <c r="D89" s="1" t="s">
        <v>39</v>
      </c>
      <c r="E89" s="2">
        <v>1443.98</v>
      </c>
      <c r="F89" s="2">
        <v>19</v>
      </c>
      <c r="G89" s="2">
        <v>0</v>
      </c>
      <c r="H89" s="3">
        <v>45547</v>
      </c>
      <c r="I89" s="5">
        <v>649.79</v>
      </c>
      <c r="J89" s="2">
        <f>Sales_Data1[[#This Row],[Sales]]*Sales_Data1[[#This Row],[Quantity]]*(1-Sales_Data1[[#This Row],[Discount]])</f>
        <v>27435.62</v>
      </c>
      <c r="K89" s="1"/>
      <c r="L89" s="1"/>
      <c r="M89" s="1"/>
      <c r="N89" s="1"/>
      <c r="O89" s="1"/>
      <c r="P89" s="1"/>
      <c r="Q89" s="1"/>
      <c r="R89" s="1"/>
      <c r="S89" s="1"/>
      <c r="T89" s="1"/>
      <c r="U89" s="1"/>
      <c r="V89" s="1"/>
      <c r="W89" s="1"/>
      <c r="X89" s="1"/>
      <c r="Y89" s="1"/>
      <c r="Z89" s="1"/>
    </row>
    <row r="90" spans="1:26" ht="17" customHeight="1" thickBot="1" x14ac:dyDescent="0.4">
      <c r="A90" s="4" t="s">
        <v>40</v>
      </c>
      <c r="B90" s="1" t="s">
        <v>23</v>
      </c>
      <c r="C90" s="1" t="s">
        <v>18</v>
      </c>
      <c r="D90" s="1" t="s">
        <v>39</v>
      </c>
      <c r="E90" s="2">
        <v>1154.33</v>
      </c>
      <c r="F90" s="2">
        <v>11</v>
      </c>
      <c r="G90" s="2">
        <v>0.15</v>
      </c>
      <c r="H90" s="3">
        <v>45549</v>
      </c>
      <c r="I90" s="5">
        <v>441.53</v>
      </c>
      <c r="J90" s="2">
        <f>Sales_Data1[[#This Row],[Sales]]*Sales_Data1[[#This Row],[Quantity]]*(1-Sales_Data1[[#This Row],[Discount]])</f>
        <v>10792.985499999999</v>
      </c>
      <c r="K90" s="1"/>
      <c r="L90" s="1"/>
      <c r="M90" s="1"/>
      <c r="N90" s="1"/>
      <c r="O90" s="1"/>
      <c r="P90" s="1"/>
      <c r="Q90" s="1"/>
      <c r="R90" s="1"/>
      <c r="S90" s="1"/>
      <c r="T90" s="1"/>
      <c r="U90" s="1"/>
      <c r="V90" s="1"/>
      <c r="W90" s="1"/>
      <c r="X90" s="1"/>
      <c r="Y90" s="1"/>
      <c r="Z90" s="1"/>
    </row>
    <row r="91" spans="1:26" ht="17" customHeight="1" thickBot="1" x14ac:dyDescent="0.4">
      <c r="A91" s="4" t="s">
        <v>49</v>
      </c>
      <c r="B91" s="1" t="s">
        <v>50</v>
      </c>
      <c r="C91" s="1" t="s">
        <v>20</v>
      </c>
      <c r="D91" s="1" t="s">
        <v>12</v>
      </c>
      <c r="E91" s="2">
        <v>1264.49</v>
      </c>
      <c r="F91" s="2">
        <v>16</v>
      </c>
      <c r="G91" s="2">
        <v>0.05</v>
      </c>
      <c r="H91" s="3">
        <v>45549</v>
      </c>
      <c r="I91" s="5">
        <v>480.51</v>
      </c>
      <c r="J91" s="2">
        <f>Sales_Data1[[#This Row],[Sales]]*Sales_Data1[[#This Row],[Quantity]]*(1-Sales_Data1[[#This Row],[Discount]])</f>
        <v>19220.248</v>
      </c>
      <c r="K91" s="1"/>
      <c r="L91" s="1"/>
      <c r="M91" s="1"/>
      <c r="N91" s="1"/>
      <c r="O91" s="1"/>
      <c r="P91" s="1"/>
      <c r="Q91" s="1"/>
      <c r="R91" s="1"/>
      <c r="S91" s="1"/>
      <c r="T91" s="1"/>
      <c r="U91" s="1"/>
      <c r="V91" s="1"/>
      <c r="W91" s="1"/>
      <c r="X91" s="1"/>
      <c r="Y91" s="1"/>
      <c r="Z91" s="1"/>
    </row>
    <row r="92" spans="1:26" ht="17" customHeight="1" thickBot="1" x14ac:dyDescent="0.4">
      <c r="A92" s="4" t="s">
        <v>25</v>
      </c>
      <c r="B92" s="1" t="s">
        <v>66</v>
      </c>
      <c r="C92" s="1" t="s">
        <v>11</v>
      </c>
      <c r="D92" s="1" t="s">
        <v>27</v>
      </c>
      <c r="E92" s="2">
        <v>1101.55</v>
      </c>
      <c r="F92" s="2">
        <v>4</v>
      </c>
      <c r="G92" s="2">
        <v>0.1</v>
      </c>
      <c r="H92" s="3">
        <v>45551</v>
      </c>
      <c r="I92" s="5">
        <v>346.99</v>
      </c>
      <c r="J92" s="2">
        <f>Sales_Data1[[#This Row],[Sales]]*Sales_Data1[[#This Row],[Quantity]]*(1-Sales_Data1[[#This Row],[Discount]])</f>
        <v>3965.58</v>
      </c>
      <c r="K92" s="1"/>
      <c r="L92" s="1"/>
      <c r="M92" s="1"/>
      <c r="N92" s="1"/>
      <c r="O92" s="1"/>
      <c r="P92" s="1"/>
      <c r="Q92" s="1"/>
      <c r="R92" s="1"/>
      <c r="S92" s="1"/>
      <c r="T92" s="1"/>
      <c r="U92" s="1"/>
      <c r="V92" s="1"/>
      <c r="W92" s="1"/>
      <c r="X92" s="1"/>
      <c r="Y92" s="1"/>
      <c r="Z92" s="1"/>
    </row>
    <row r="93" spans="1:26" ht="17" customHeight="1" thickBot="1" x14ac:dyDescent="0.4">
      <c r="A93" s="4" t="s">
        <v>73</v>
      </c>
      <c r="B93" s="1" t="s">
        <v>14</v>
      </c>
      <c r="C93" s="1" t="s">
        <v>20</v>
      </c>
      <c r="D93" s="1" t="s">
        <v>27</v>
      </c>
      <c r="E93" s="2">
        <v>727.73</v>
      </c>
      <c r="F93" s="2">
        <v>1</v>
      </c>
      <c r="G93" s="2">
        <v>0.1</v>
      </c>
      <c r="H93" s="3">
        <v>45552</v>
      </c>
      <c r="I93" s="5">
        <v>229.23</v>
      </c>
      <c r="J93" s="2">
        <f>Sales_Data1[[#This Row],[Sales]]*Sales_Data1[[#This Row],[Quantity]]*(1-Sales_Data1[[#This Row],[Discount]])</f>
        <v>654.95699999999999</v>
      </c>
      <c r="K93" s="1"/>
      <c r="L93" s="1"/>
      <c r="M93" s="1"/>
      <c r="N93" s="1"/>
      <c r="O93" s="1"/>
      <c r="P93" s="1"/>
      <c r="Q93" s="1"/>
      <c r="R93" s="1"/>
      <c r="S93" s="1"/>
      <c r="T93" s="1"/>
      <c r="U93" s="1"/>
      <c r="V93" s="1"/>
      <c r="W93" s="1"/>
      <c r="X93" s="1"/>
      <c r="Y93" s="1"/>
      <c r="Z93" s="1"/>
    </row>
    <row r="94" spans="1:26" ht="17" customHeight="1" thickBot="1" x14ac:dyDescent="0.4">
      <c r="A94" s="4" t="s">
        <v>74</v>
      </c>
      <c r="B94" s="1" t="s">
        <v>38</v>
      </c>
      <c r="C94" s="1" t="s">
        <v>18</v>
      </c>
      <c r="D94" s="1" t="s">
        <v>39</v>
      </c>
      <c r="E94" s="2">
        <v>875.41</v>
      </c>
      <c r="F94" s="2">
        <v>13</v>
      </c>
      <c r="G94" s="2">
        <v>0.15</v>
      </c>
      <c r="H94" s="3">
        <v>45552</v>
      </c>
      <c r="I94" s="5">
        <v>334.84</v>
      </c>
      <c r="J94" s="2">
        <f>Sales_Data1[[#This Row],[Sales]]*Sales_Data1[[#This Row],[Quantity]]*(1-Sales_Data1[[#This Row],[Discount]])</f>
        <v>9673.2804999999989</v>
      </c>
      <c r="K94" s="1"/>
      <c r="L94" s="1"/>
      <c r="M94" s="1"/>
      <c r="N94" s="1"/>
      <c r="O94" s="1"/>
      <c r="P94" s="1"/>
      <c r="Q94" s="1"/>
      <c r="R94" s="1"/>
      <c r="S94" s="1"/>
      <c r="T94" s="1"/>
      <c r="U94" s="1"/>
      <c r="V94" s="1"/>
      <c r="W94" s="1"/>
      <c r="X94" s="1"/>
      <c r="Y94" s="1"/>
      <c r="Z94" s="1"/>
    </row>
    <row r="95" spans="1:26" ht="17" customHeight="1" thickBot="1" x14ac:dyDescent="0.4">
      <c r="A95" s="4" t="s">
        <v>67</v>
      </c>
      <c r="B95" s="1" t="s">
        <v>23</v>
      </c>
      <c r="C95" s="1" t="s">
        <v>11</v>
      </c>
      <c r="D95" s="1" t="s">
        <v>21</v>
      </c>
      <c r="E95" s="2">
        <v>1158.94</v>
      </c>
      <c r="F95" s="2">
        <v>19</v>
      </c>
      <c r="G95" s="2">
        <v>0.2</v>
      </c>
      <c r="H95" s="3">
        <v>45553</v>
      </c>
      <c r="I95" s="5">
        <v>231.79</v>
      </c>
      <c r="J95" s="2">
        <f>Sales_Data1[[#This Row],[Sales]]*Sales_Data1[[#This Row],[Quantity]]*(1-Sales_Data1[[#This Row],[Discount]])</f>
        <v>17615.888000000003</v>
      </c>
      <c r="K95" s="1"/>
      <c r="L95" s="1"/>
      <c r="M95" s="1"/>
      <c r="N95" s="1"/>
      <c r="O95" s="1"/>
      <c r="P95" s="1"/>
      <c r="Q95" s="1"/>
      <c r="R95" s="1"/>
      <c r="S95" s="1"/>
      <c r="T95" s="1"/>
      <c r="U95" s="1"/>
      <c r="V95" s="1"/>
      <c r="W95" s="1"/>
      <c r="X95" s="1"/>
      <c r="Y95" s="1"/>
      <c r="Z95" s="1"/>
    </row>
    <row r="96" spans="1:26" ht="17" customHeight="1" thickBot="1" x14ac:dyDescent="0.4">
      <c r="A96" s="4" t="s">
        <v>75</v>
      </c>
      <c r="B96" s="1" t="s">
        <v>47</v>
      </c>
      <c r="C96" s="1" t="s">
        <v>20</v>
      </c>
      <c r="D96" s="1" t="s">
        <v>12</v>
      </c>
      <c r="E96" s="2">
        <v>966.3</v>
      </c>
      <c r="F96" s="2">
        <v>2</v>
      </c>
      <c r="G96" s="2">
        <v>0.15</v>
      </c>
      <c r="H96" s="3">
        <v>45557</v>
      </c>
      <c r="I96" s="5">
        <v>328.54</v>
      </c>
      <c r="J96" s="2">
        <f>Sales_Data1[[#This Row],[Sales]]*Sales_Data1[[#This Row],[Quantity]]*(1-Sales_Data1[[#This Row],[Discount]])</f>
        <v>1642.7099999999998</v>
      </c>
      <c r="K96" s="1"/>
      <c r="L96" s="1"/>
      <c r="M96" s="1"/>
      <c r="N96" s="1"/>
      <c r="O96" s="1"/>
      <c r="P96" s="1"/>
      <c r="Q96" s="1"/>
      <c r="R96" s="1"/>
      <c r="S96" s="1"/>
      <c r="T96" s="1"/>
      <c r="U96" s="1"/>
      <c r="V96" s="1"/>
      <c r="W96" s="1"/>
      <c r="X96" s="1"/>
      <c r="Y96" s="1"/>
      <c r="Z96" s="1"/>
    </row>
    <row r="97" spans="1:26" ht="17" customHeight="1" thickBot="1" x14ac:dyDescent="0.4">
      <c r="A97" s="4" t="s">
        <v>68</v>
      </c>
      <c r="B97" s="1" t="s">
        <v>17</v>
      </c>
      <c r="C97" s="1" t="s">
        <v>20</v>
      </c>
      <c r="D97" s="1" t="s">
        <v>12</v>
      </c>
      <c r="E97" s="2">
        <v>917.48</v>
      </c>
      <c r="F97" s="2">
        <v>6</v>
      </c>
      <c r="G97" s="2">
        <v>0</v>
      </c>
      <c r="H97" s="3">
        <v>45558</v>
      </c>
      <c r="I97" s="5">
        <v>366.99</v>
      </c>
      <c r="J97" s="2">
        <f>Sales_Data1[[#This Row],[Sales]]*Sales_Data1[[#This Row],[Quantity]]*(1-Sales_Data1[[#This Row],[Discount]])</f>
        <v>5504.88</v>
      </c>
      <c r="K97" s="1"/>
      <c r="L97" s="1"/>
      <c r="M97" s="1"/>
      <c r="N97" s="1"/>
      <c r="O97" s="1"/>
      <c r="P97" s="1"/>
      <c r="Q97" s="1"/>
      <c r="R97" s="1"/>
      <c r="S97" s="1"/>
      <c r="T97" s="1"/>
      <c r="U97" s="1"/>
      <c r="V97" s="1"/>
      <c r="W97" s="1"/>
      <c r="X97" s="1"/>
      <c r="Y97" s="1"/>
      <c r="Z97" s="1"/>
    </row>
    <row r="98" spans="1:26" ht="17" customHeight="1" thickBot="1" x14ac:dyDescent="0.4">
      <c r="A98" s="4" t="s">
        <v>41</v>
      </c>
      <c r="B98" s="1" t="s">
        <v>61</v>
      </c>
      <c r="C98" s="1" t="s">
        <v>11</v>
      </c>
      <c r="D98" s="1" t="s">
        <v>27</v>
      </c>
      <c r="E98" s="2">
        <v>1172.97</v>
      </c>
      <c r="F98" s="2">
        <v>7</v>
      </c>
      <c r="G98" s="2">
        <v>0.15</v>
      </c>
      <c r="H98" s="3">
        <v>45559</v>
      </c>
      <c r="I98" s="5">
        <v>348.96</v>
      </c>
      <c r="J98" s="2">
        <f>Sales_Data1[[#This Row],[Sales]]*Sales_Data1[[#This Row],[Quantity]]*(1-Sales_Data1[[#This Row],[Discount]])</f>
        <v>6979.1715000000004</v>
      </c>
      <c r="K98" s="1"/>
      <c r="L98" s="1"/>
      <c r="M98" s="1"/>
      <c r="N98" s="1"/>
      <c r="O98" s="1"/>
      <c r="P98" s="1"/>
      <c r="Q98" s="1"/>
      <c r="R98" s="1"/>
      <c r="S98" s="1"/>
      <c r="T98" s="1"/>
      <c r="U98" s="1"/>
      <c r="V98" s="1"/>
      <c r="W98" s="1"/>
      <c r="X98" s="1"/>
      <c r="Y98" s="1"/>
      <c r="Z98" s="1"/>
    </row>
    <row r="99" spans="1:26" ht="17" customHeight="1" thickBot="1" x14ac:dyDescent="0.4">
      <c r="A99" s="4" t="s">
        <v>57</v>
      </c>
      <c r="B99" s="1" t="s">
        <v>23</v>
      </c>
      <c r="C99" s="1" t="s">
        <v>24</v>
      </c>
      <c r="D99" s="1" t="s">
        <v>15</v>
      </c>
      <c r="E99" s="2">
        <v>1205.82</v>
      </c>
      <c r="F99" s="2">
        <v>11</v>
      </c>
      <c r="G99" s="2">
        <v>0.1</v>
      </c>
      <c r="H99" s="3">
        <v>45559</v>
      </c>
      <c r="I99" s="5">
        <v>542.62</v>
      </c>
      <c r="J99" s="2">
        <f>Sales_Data1[[#This Row],[Sales]]*Sales_Data1[[#This Row],[Quantity]]*(1-Sales_Data1[[#This Row],[Discount]])</f>
        <v>11937.617999999999</v>
      </c>
      <c r="K99" s="1"/>
      <c r="L99" s="1"/>
      <c r="M99" s="1"/>
      <c r="N99" s="1"/>
      <c r="O99" s="1"/>
      <c r="P99" s="1"/>
      <c r="Q99" s="1"/>
      <c r="R99" s="1"/>
      <c r="S99" s="1"/>
      <c r="T99" s="1"/>
      <c r="U99" s="1"/>
      <c r="V99" s="1"/>
      <c r="W99" s="1"/>
      <c r="X99" s="1"/>
      <c r="Y99" s="1"/>
      <c r="Z99" s="1"/>
    </row>
    <row r="100" spans="1:26" ht="17" customHeight="1" thickBot="1" x14ac:dyDescent="0.4">
      <c r="A100" s="4" t="s">
        <v>16</v>
      </c>
      <c r="B100" s="1" t="s">
        <v>64</v>
      </c>
      <c r="C100" s="1" t="s">
        <v>11</v>
      </c>
      <c r="D100" s="1" t="s">
        <v>39</v>
      </c>
      <c r="E100" s="2">
        <v>826.93</v>
      </c>
      <c r="F100" s="2">
        <v>10</v>
      </c>
      <c r="G100" s="2">
        <v>0.2</v>
      </c>
      <c r="H100" s="3">
        <v>45564</v>
      </c>
      <c r="I100" s="5">
        <v>297.69</v>
      </c>
      <c r="J100" s="2">
        <f>Sales_Data1[[#This Row],[Sales]]*Sales_Data1[[#This Row],[Quantity]]*(1-Sales_Data1[[#This Row],[Discount]])</f>
        <v>6615.44</v>
      </c>
      <c r="K100" s="1"/>
      <c r="L100" s="1"/>
      <c r="M100" s="1"/>
      <c r="N100" s="1"/>
      <c r="O100" s="1"/>
      <c r="P100" s="1"/>
      <c r="Q100" s="1"/>
      <c r="R100" s="1"/>
      <c r="S100" s="1"/>
      <c r="T100" s="1"/>
      <c r="U100" s="1"/>
      <c r="V100" s="1"/>
      <c r="W100" s="1"/>
      <c r="X100" s="1"/>
      <c r="Y100" s="1"/>
      <c r="Z100" s="1"/>
    </row>
    <row r="101" spans="1:26" ht="17" customHeight="1" thickBot="1" x14ac:dyDescent="0.4">
      <c r="A101" s="4" t="s">
        <v>67</v>
      </c>
      <c r="B101" s="1" t="s">
        <v>23</v>
      </c>
      <c r="C101" s="1" t="s">
        <v>34</v>
      </c>
      <c r="D101" s="1" t="s">
        <v>15</v>
      </c>
      <c r="E101" s="2">
        <v>902.19</v>
      </c>
      <c r="F101" s="2">
        <v>12</v>
      </c>
      <c r="G101" s="2">
        <v>0</v>
      </c>
      <c r="H101" s="3">
        <v>45564</v>
      </c>
      <c r="I101" s="5">
        <v>451.1</v>
      </c>
      <c r="J101" s="2">
        <f>Sales_Data1[[#This Row],[Sales]]*Sales_Data1[[#This Row],[Quantity]]*(1-Sales_Data1[[#This Row],[Discount]])</f>
        <v>10826.28</v>
      </c>
      <c r="K101" s="1"/>
      <c r="L101" s="1"/>
      <c r="M101" s="1"/>
      <c r="N101" s="1"/>
      <c r="O101" s="1"/>
      <c r="P101" s="1"/>
      <c r="Q101" s="1"/>
      <c r="R101" s="1"/>
      <c r="S101" s="1"/>
      <c r="T101" s="1"/>
      <c r="U101" s="1"/>
      <c r="V101" s="1"/>
      <c r="W101" s="1"/>
      <c r="X101" s="1"/>
      <c r="Y101" s="1"/>
      <c r="Z101" s="1"/>
    </row>
    <row r="102" spans="1:26" ht="17" customHeight="1" thickBot="1" x14ac:dyDescent="0.4">
      <c r="A102" s="4" t="s">
        <v>74</v>
      </c>
      <c r="B102" s="1" t="s">
        <v>38</v>
      </c>
      <c r="C102" s="1" t="s">
        <v>24</v>
      </c>
      <c r="D102" s="1" t="s">
        <v>12</v>
      </c>
      <c r="E102" s="2">
        <v>585.97</v>
      </c>
      <c r="F102" s="2">
        <v>17</v>
      </c>
      <c r="G102" s="2">
        <v>0.1</v>
      </c>
      <c r="H102" s="3">
        <v>45565</v>
      </c>
      <c r="I102" s="5">
        <v>210.95</v>
      </c>
      <c r="J102" s="2">
        <f>Sales_Data1[[#This Row],[Sales]]*Sales_Data1[[#This Row],[Quantity]]*(1-Sales_Data1[[#This Row],[Discount]])</f>
        <v>8965.3410000000003</v>
      </c>
      <c r="K102" s="1"/>
      <c r="L102" s="1"/>
      <c r="M102" s="1"/>
      <c r="N102" s="1"/>
      <c r="O102" s="1"/>
      <c r="P102" s="1"/>
      <c r="Q102" s="1"/>
      <c r="R102" s="1"/>
      <c r="S102" s="1"/>
      <c r="T102" s="1"/>
      <c r="U102" s="1"/>
      <c r="V102" s="1"/>
      <c r="W102" s="1"/>
      <c r="X102" s="1"/>
      <c r="Y102" s="1"/>
      <c r="Z102" s="1"/>
    </row>
    <row r="103" spans="1:26" ht="17" customHeight="1" thickBot="1" x14ac:dyDescent="0.4">
      <c r="A103" s="4" t="s">
        <v>60</v>
      </c>
      <c r="B103" s="1" t="s">
        <v>26</v>
      </c>
      <c r="C103" s="1" t="s">
        <v>24</v>
      </c>
      <c r="D103" s="1" t="s">
        <v>15</v>
      </c>
      <c r="E103" s="2">
        <v>990.19</v>
      </c>
      <c r="F103" s="2">
        <v>8</v>
      </c>
      <c r="G103" s="2">
        <v>0.1</v>
      </c>
      <c r="H103" s="3">
        <v>45565</v>
      </c>
      <c r="I103" s="5">
        <v>445.59</v>
      </c>
      <c r="J103" s="2">
        <f>Sales_Data1[[#This Row],[Sales]]*Sales_Data1[[#This Row],[Quantity]]*(1-Sales_Data1[[#This Row],[Discount]])</f>
        <v>7129.3680000000004</v>
      </c>
      <c r="K103" s="1"/>
      <c r="L103" s="1"/>
      <c r="M103" s="1"/>
      <c r="N103" s="1"/>
      <c r="O103" s="1"/>
      <c r="P103" s="1"/>
      <c r="Q103" s="1"/>
      <c r="R103" s="1"/>
      <c r="S103" s="1"/>
      <c r="T103" s="1"/>
      <c r="U103" s="1"/>
      <c r="V103" s="1"/>
      <c r="W103" s="1"/>
      <c r="X103" s="1"/>
      <c r="Y103" s="1"/>
      <c r="Z103" s="1"/>
    </row>
    <row r="104" spans="1:26" ht="17" customHeight="1" thickBot="1" x14ac:dyDescent="0.4">
      <c r="A104" s="4" t="s">
        <v>44</v>
      </c>
      <c r="B104" s="1" t="s">
        <v>56</v>
      </c>
      <c r="C104" s="1" t="s">
        <v>34</v>
      </c>
      <c r="D104" s="1" t="s">
        <v>21</v>
      </c>
      <c r="E104" s="2">
        <v>1014.09</v>
      </c>
      <c r="F104" s="2">
        <v>13</v>
      </c>
      <c r="G104" s="2">
        <v>0.2</v>
      </c>
      <c r="H104" s="3">
        <v>45567</v>
      </c>
      <c r="I104" s="5">
        <v>202.82</v>
      </c>
      <c r="J104" s="2">
        <f>Sales_Data1[[#This Row],[Sales]]*Sales_Data1[[#This Row],[Quantity]]*(1-Sales_Data1[[#This Row],[Discount]])</f>
        <v>10546.536</v>
      </c>
      <c r="K104" s="1"/>
      <c r="L104" s="1"/>
      <c r="M104" s="1"/>
      <c r="N104" s="1"/>
      <c r="O104" s="1"/>
      <c r="P104" s="1"/>
      <c r="Q104" s="1"/>
      <c r="R104" s="1"/>
      <c r="S104" s="1"/>
      <c r="T104" s="1"/>
      <c r="U104" s="1"/>
      <c r="V104" s="1"/>
      <c r="W104" s="1"/>
      <c r="X104" s="1"/>
      <c r="Y104" s="1"/>
      <c r="Z104" s="1"/>
    </row>
    <row r="105" spans="1:26" ht="17" customHeight="1" thickBot="1" x14ac:dyDescent="0.4">
      <c r="A105" s="4" t="s">
        <v>13</v>
      </c>
      <c r="B105" s="1" t="s">
        <v>48</v>
      </c>
      <c r="C105" s="1" t="s">
        <v>24</v>
      </c>
      <c r="D105" s="1" t="s">
        <v>21</v>
      </c>
      <c r="E105" s="2">
        <v>925.29</v>
      </c>
      <c r="F105" s="2">
        <v>17</v>
      </c>
      <c r="G105" s="2">
        <v>0</v>
      </c>
      <c r="H105" s="3">
        <v>45570</v>
      </c>
      <c r="I105" s="5">
        <v>231.32</v>
      </c>
      <c r="J105" s="2">
        <f>Sales_Data1[[#This Row],[Sales]]*Sales_Data1[[#This Row],[Quantity]]*(1-Sales_Data1[[#This Row],[Discount]])</f>
        <v>15729.93</v>
      </c>
      <c r="K105" s="1"/>
      <c r="L105" s="1"/>
      <c r="M105" s="1"/>
      <c r="N105" s="1"/>
      <c r="O105" s="1"/>
      <c r="P105" s="1"/>
      <c r="Q105" s="1"/>
      <c r="R105" s="1"/>
      <c r="S105" s="1"/>
      <c r="T105" s="1"/>
      <c r="U105" s="1"/>
      <c r="V105" s="1"/>
      <c r="W105" s="1"/>
      <c r="X105" s="1"/>
      <c r="Y105" s="1"/>
      <c r="Z105" s="1"/>
    </row>
    <row r="106" spans="1:26" ht="17" customHeight="1" thickBot="1" x14ac:dyDescent="0.4">
      <c r="A106" s="4" t="s">
        <v>54</v>
      </c>
      <c r="B106" s="1" t="s">
        <v>47</v>
      </c>
      <c r="C106" s="1" t="s">
        <v>18</v>
      </c>
      <c r="D106" s="1" t="s">
        <v>27</v>
      </c>
      <c r="E106" s="2">
        <v>1286.54</v>
      </c>
      <c r="F106" s="2">
        <v>8</v>
      </c>
      <c r="G106" s="2">
        <v>0</v>
      </c>
      <c r="H106" s="3">
        <v>45575</v>
      </c>
      <c r="I106" s="5">
        <v>450.29</v>
      </c>
      <c r="J106" s="2">
        <f>Sales_Data1[[#This Row],[Sales]]*Sales_Data1[[#This Row],[Quantity]]*(1-Sales_Data1[[#This Row],[Discount]])</f>
        <v>10292.32</v>
      </c>
      <c r="K106" s="1"/>
      <c r="L106" s="1"/>
      <c r="M106" s="1"/>
      <c r="N106" s="1"/>
      <c r="O106" s="1"/>
      <c r="P106" s="1"/>
      <c r="Q106" s="1"/>
      <c r="R106" s="1"/>
      <c r="S106" s="1"/>
      <c r="T106" s="1"/>
      <c r="U106" s="1"/>
      <c r="V106" s="1"/>
      <c r="W106" s="1"/>
      <c r="X106" s="1"/>
      <c r="Y106" s="1"/>
      <c r="Z106" s="1"/>
    </row>
    <row r="107" spans="1:26" ht="17" customHeight="1" thickBot="1" x14ac:dyDescent="0.4">
      <c r="A107" s="4" t="s">
        <v>37</v>
      </c>
      <c r="B107" s="1" t="s">
        <v>64</v>
      </c>
      <c r="C107" s="1" t="s">
        <v>20</v>
      </c>
      <c r="D107" s="1" t="s">
        <v>12</v>
      </c>
      <c r="E107" s="2">
        <v>961.62</v>
      </c>
      <c r="F107" s="2">
        <v>8</v>
      </c>
      <c r="G107" s="2">
        <v>0.2</v>
      </c>
      <c r="H107" s="3">
        <v>45577</v>
      </c>
      <c r="I107" s="5">
        <v>307.72000000000003</v>
      </c>
      <c r="J107" s="2">
        <f>Sales_Data1[[#This Row],[Sales]]*Sales_Data1[[#This Row],[Quantity]]*(1-Sales_Data1[[#This Row],[Discount]])</f>
        <v>6154.3680000000004</v>
      </c>
      <c r="K107" s="1"/>
      <c r="L107" s="1"/>
      <c r="M107" s="1"/>
      <c r="N107" s="1"/>
      <c r="O107" s="1"/>
      <c r="P107" s="1"/>
      <c r="Q107" s="1"/>
      <c r="R107" s="1"/>
      <c r="S107" s="1"/>
      <c r="T107" s="1"/>
      <c r="U107" s="1"/>
      <c r="V107" s="1"/>
      <c r="W107" s="1"/>
      <c r="X107" s="1"/>
      <c r="Y107" s="1"/>
      <c r="Z107" s="1"/>
    </row>
    <row r="108" spans="1:26" ht="17" customHeight="1" thickBot="1" x14ac:dyDescent="0.4">
      <c r="A108" s="4" t="s">
        <v>44</v>
      </c>
      <c r="B108" s="1" t="s">
        <v>23</v>
      </c>
      <c r="C108" s="1" t="s">
        <v>18</v>
      </c>
      <c r="D108" s="1" t="s">
        <v>12</v>
      </c>
      <c r="E108" s="2">
        <v>1081.1400000000001</v>
      </c>
      <c r="F108" s="2">
        <v>19</v>
      </c>
      <c r="G108" s="2">
        <v>0.15</v>
      </c>
      <c r="H108" s="3">
        <v>45577</v>
      </c>
      <c r="I108" s="5">
        <v>367.59</v>
      </c>
      <c r="J108" s="2">
        <f>Sales_Data1[[#This Row],[Sales]]*Sales_Data1[[#This Row],[Quantity]]*(1-Sales_Data1[[#This Row],[Discount]])</f>
        <v>17460.411000000004</v>
      </c>
      <c r="K108" s="1"/>
      <c r="L108" s="1"/>
      <c r="M108" s="1"/>
      <c r="N108" s="1"/>
      <c r="O108" s="1"/>
      <c r="P108" s="1"/>
      <c r="Q108" s="1"/>
      <c r="R108" s="1"/>
      <c r="S108" s="1"/>
      <c r="T108" s="1"/>
      <c r="U108" s="1"/>
      <c r="V108" s="1"/>
      <c r="W108" s="1"/>
      <c r="X108" s="1"/>
      <c r="Y108" s="1"/>
      <c r="Z108" s="1"/>
    </row>
    <row r="109" spans="1:26" ht="17" customHeight="1" thickBot="1" x14ac:dyDescent="0.4">
      <c r="A109" s="4" t="s">
        <v>58</v>
      </c>
      <c r="B109" s="1" t="s">
        <v>23</v>
      </c>
      <c r="C109" s="1" t="s">
        <v>11</v>
      </c>
      <c r="D109" s="1" t="s">
        <v>15</v>
      </c>
      <c r="E109" s="2">
        <v>1923.66</v>
      </c>
      <c r="F109" s="2">
        <v>9</v>
      </c>
      <c r="G109" s="2">
        <v>0.2</v>
      </c>
      <c r="H109" s="3">
        <v>45580</v>
      </c>
      <c r="I109" s="5">
        <v>769.46</v>
      </c>
      <c r="J109" s="2">
        <f>Sales_Data1[[#This Row],[Sales]]*Sales_Data1[[#This Row],[Quantity]]*(1-Sales_Data1[[#This Row],[Discount]])</f>
        <v>13850.352000000003</v>
      </c>
      <c r="K109" s="1"/>
      <c r="L109" s="1"/>
      <c r="M109" s="1"/>
      <c r="N109" s="1"/>
      <c r="O109" s="1"/>
      <c r="P109" s="1"/>
      <c r="Q109" s="1"/>
      <c r="R109" s="1"/>
      <c r="S109" s="1"/>
      <c r="T109" s="1"/>
      <c r="U109" s="1"/>
      <c r="V109" s="1"/>
      <c r="W109" s="1"/>
      <c r="X109" s="1"/>
      <c r="Y109" s="1"/>
      <c r="Z109" s="1"/>
    </row>
    <row r="110" spans="1:26" ht="17" customHeight="1" thickBot="1" x14ac:dyDescent="0.4">
      <c r="A110" s="4" t="s">
        <v>54</v>
      </c>
      <c r="B110" s="1" t="s">
        <v>66</v>
      </c>
      <c r="C110" s="1" t="s">
        <v>34</v>
      </c>
      <c r="D110" s="1" t="s">
        <v>15</v>
      </c>
      <c r="E110" s="2">
        <v>728.71</v>
      </c>
      <c r="F110" s="2">
        <v>14</v>
      </c>
      <c r="G110" s="2">
        <v>0.1</v>
      </c>
      <c r="H110" s="3">
        <v>45581</v>
      </c>
      <c r="I110" s="5">
        <v>327.92</v>
      </c>
      <c r="J110" s="2">
        <f>Sales_Data1[[#This Row],[Sales]]*Sales_Data1[[#This Row],[Quantity]]*(1-Sales_Data1[[#This Row],[Discount]])</f>
        <v>9181.746000000001</v>
      </c>
      <c r="K110" s="1"/>
      <c r="L110" s="1"/>
      <c r="M110" s="1"/>
      <c r="N110" s="1"/>
      <c r="O110" s="1"/>
      <c r="P110" s="1"/>
      <c r="Q110" s="1"/>
      <c r="R110" s="1"/>
      <c r="S110" s="1"/>
      <c r="T110" s="1"/>
      <c r="U110" s="1"/>
      <c r="V110" s="1"/>
      <c r="W110" s="1"/>
      <c r="X110" s="1"/>
      <c r="Y110" s="1"/>
      <c r="Z110" s="1"/>
    </row>
    <row r="111" spans="1:26" ht="17" customHeight="1" thickBot="1" x14ac:dyDescent="0.4">
      <c r="A111" s="4" t="s">
        <v>9</v>
      </c>
      <c r="B111" s="1" t="s">
        <v>33</v>
      </c>
      <c r="C111" s="1" t="s">
        <v>34</v>
      </c>
      <c r="D111" s="1" t="s">
        <v>15</v>
      </c>
      <c r="E111" s="2">
        <v>1301.8900000000001</v>
      </c>
      <c r="F111" s="2">
        <v>7</v>
      </c>
      <c r="G111" s="2">
        <v>0.15</v>
      </c>
      <c r="H111" s="3">
        <v>45581</v>
      </c>
      <c r="I111" s="5">
        <v>553.29999999999995</v>
      </c>
      <c r="J111" s="2">
        <f>Sales_Data1[[#This Row],[Sales]]*Sales_Data1[[#This Row],[Quantity]]*(1-Sales_Data1[[#This Row],[Discount]])</f>
        <v>7746.2455000000009</v>
      </c>
      <c r="K111" s="1"/>
      <c r="L111" s="1"/>
      <c r="M111" s="1"/>
      <c r="N111" s="1"/>
      <c r="O111" s="1"/>
      <c r="P111" s="1"/>
      <c r="Q111" s="1"/>
      <c r="R111" s="1"/>
      <c r="S111" s="1"/>
      <c r="T111" s="1"/>
      <c r="U111" s="1"/>
      <c r="V111" s="1"/>
      <c r="W111" s="1"/>
      <c r="X111" s="1"/>
      <c r="Y111" s="1"/>
      <c r="Z111" s="1"/>
    </row>
    <row r="112" spans="1:26" ht="17" customHeight="1" thickBot="1" x14ac:dyDescent="0.4">
      <c r="A112" s="4" t="s">
        <v>70</v>
      </c>
      <c r="B112" s="1" t="s">
        <v>66</v>
      </c>
      <c r="C112" s="1" t="s">
        <v>18</v>
      </c>
      <c r="D112" s="1" t="s">
        <v>12</v>
      </c>
      <c r="E112" s="2">
        <v>980.18</v>
      </c>
      <c r="F112" s="2">
        <v>16</v>
      </c>
      <c r="G112" s="2">
        <v>0.1</v>
      </c>
      <c r="H112" s="3">
        <v>45582</v>
      </c>
      <c r="I112" s="5">
        <v>352.86</v>
      </c>
      <c r="J112" s="2">
        <f>Sales_Data1[[#This Row],[Sales]]*Sales_Data1[[#This Row],[Quantity]]*(1-Sales_Data1[[#This Row],[Discount]])</f>
        <v>14114.591999999999</v>
      </c>
      <c r="K112" s="1"/>
      <c r="L112" s="1"/>
      <c r="M112" s="1"/>
      <c r="N112" s="1"/>
      <c r="O112" s="1"/>
      <c r="P112" s="1"/>
      <c r="Q112" s="1"/>
      <c r="R112" s="1"/>
      <c r="S112" s="1"/>
      <c r="T112" s="1"/>
      <c r="U112" s="1"/>
      <c r="V112" s="1"/>
      <c r="W112" s="1"/>
      <c r="X112" s="1"/>
      <c r="Y112" s="1"/>
      <c r="Z112" s="1"/>
    </row>
    <row r="113" spans="1:26" ht="17" customHeight="1" thickBot="1" x14ac:dyDescent="0.4">
      <c r="A113" s="4" t="s">
        <v>74</v>
      </c>
      <c r="B113" s="1" t="s">
        <v>23</v>
      </c>
      <c r="C113" s="1" t="s">
        <v>11</v>
      </c>
      <c r="D113" s="1" t="s">
        <v>15</v>
      </c>
      <c r="E113" s="2">
        <v>697.57</v>
      </c>
      <c r="F113" s="2">
        <v>17</v>
      </c>
      <c r="G113" s="2">
        <v>0.1</v>
      </c>
      <c r="H113" s="3">
        <v>45584</v>
      </c>
      <c r="I113" s="5">
        <v>313.91000000000003</v>
      </c>
      <c r="J113" s="2">
        <f>Sales_Data1[[#This Row],[Sales]]*Sales_Data1[[#This Row],[Quantity]]*(1-Sales_Data1[[#This Row],[Discount]])</f>
        <v>10672.821</v>
      </c>
      <c r="K113" s="1"/>
      <c r="L113" s="1"/>
      <c r="M113" s="1"/>
      <c r="N113" s="1"/>
      <c r="O113" s="1"/>
      <c r="P113" s="1"/>
      <c r="Q113" s="1"/>
      <c r="R113" s="1"/>
      <c r="S113" s="1"/>
      <c r="T113" s="1"/>
      <c r="U113" s="1"/>
      <c r="V113" s="1"/>
      <c r="W113" s="1"/>
      <c r="X113" s="1"/>
      <c r="Y113" s="1"/>
      <c r="Z113" s="1"/>
    </row>
    <row r="114" spans="1:26" ht="17" customHeight="1" thickBot="1" x14ac:dyDescent="0.4">
      <c r="A114" s="4" t="s">
        <v>46</v>
      </c>
      <c r="B114" s="1" t="s">
        <v>71</v>
      </c>
      <c r="C114" s="1" t="s">
        <v>11</v>
      </c>
      <c r="D114" s="1" t="s">
        <v>27</v>
      </c>
      <c r="E114" s="2">
        <v>1193.6099999999999</v>
      </c>
      <c r="F114" s="2">
        <v>1</v>
      </c>
      <c r="G114" s="2">
        <v>0.15</v>
      </c>
      <c r="H114" s="3">
        <v>45584</v>
      </c>
      <c r="I114" s="5">
        <v>355.1</v>
      </c>
      <c r="J114" s="2">
        <f>Sales_Data1[[#This Row],[Sales]]*Sales_Data1[[#This Row],[Quantity]]*(1-Sales_Data1[[#This Row],[Discount]])</f>
        <v>1014.5684999999999</v>
      </c>
      <c r="K114" s="1"/>
      <c r="L114" s="1"/>
      <c r="M114" s="1"/>
      <c r="N114" s="1"/>
      <c r="O114" s="1"/>
      <c r="P114" s="1"/>
      <c r="Q114" s="1"/>
      <c r="R114" s="1"/>
      <c r="S114" s="1"/>
      <c r="T114" s="1"/>
      <c r="U114" s="1"/>
      <c r="V114" s="1"/>
      <c r="W114" s="1"/>
      <c r="X114" s="1"/>
      <c r="Y114" s="1"/>
      <c r="Z114" s="1"/>
    </row>
    <row r="115" spans="1:26" ht="17" customHeight="1" thickBot="1" x14ac:dyDescent="0.4">
      <c r="A115" s="4" t="s">
        <v>32</v>
      </c>
      <c r="B115" s="1" t="s">
        <v>38</v>
      </c>
      <c r="C115" s="1" t="s">
        <v>20</v>
      </c>
      <c r="D115" s="1" t="s">
        <v>21</v>
      </c>
      <c r="E115" s="2">
        <v>771.02</v>
      </c>
      <c r="F115" s="2">
        <v>1</v>
      </c>
      <c r="G115" s="2">
        <v>0</v>
      </c>
      <c r="H115" s="3">
        <v>45585</v>
      </c>
      <c r="I115" s="5">
        <v>192.76</v>
      </c>
      <c r="J115" s="2">
        <f>Sales_Data1[[#This Row],[Sales]]*Sales_Data1[[#This Row],[Quantity]]*(1-Sales_Data1[[#This Row],[Discount]])</f>
        <v>771.02</v>
      </c>
      <c r="K115" s="1"/>
      <c r="L115" s="1"/>
      <c r="M115" s="1"/>
      <c r="N115" s="1"/>
      <c r="O115" s="1"/>
      <c r="P115" s="1"/>
      <c r="Q115" s="1"/>
      <c r="R115" s="1"/>
      <c r="S115" s="1"/>
      <c r="T115" s="1"/>
      <c r="U115" s="1"/>
      <c r="V115" s="1"/>
      <c r="W115" s="1"/>
      <c r="X115" s="1"/>
      <c r="Y115" s="1"/>
      <c r="Z115" s="1"/>
    </row>
    <row r="116" spans="1:26" ht="17" customHeight="1" thickBot="1" x14ac:dyDescent="0.4">
      <c r="A116" s="4" t="s">
        <v>67</v>
      </c>
      <c r="B116" s="1" t="s">
        <v>69</v>
      </c>
      <c r="C116" s="1" t="s">
        <v>24</v>
      </c>
      <c r="D116" s="1" t="s">
        <v>15</v>
      </c>
      <c r="E116" s="2">
        <v>661.09</v>
      </c>
      <c r="F116" s="2">
        <v>1</v>
      </c>
      <c r="G116" s="2">
        <v>0.2</v>
      </c>
      <c r="H116" s="3">
        <v>45593</v>
      </c>
      <c r="I116" s="5">
        <v>264.44</v>
      </c>
      <c r="J116" s="2">
        <f>Sales_Data1[[#This Row],[Sales]]*Sales_Data1[[#This Row],[Quantity]]*(1-Sales_Data1[[#This Row],[Discount]])</f>
        <v>528.87200000000007</v>
      </c>
      <c r="K116" s="1"/>
      <c r="L116" s="1"/>
      <c r="M116" s="1"/>
      <c r="N116" s="1"/>
      <c r="O116" s="1"/>
      <c r="P116" s="1"/>
      <c r="Q116" s="1"/>
      <c r="R116" s="1"/>
      <c r="S116" s="1"/>
      <c r="T116" s="1"/>
      <c r="U116" s="1"/>
      <c r="V116" s="1"/>
      <c r="W116" s="1"/>
      <c r="X116" s="1"/>
      <c r="Y116" s="1"/>
      <c r="Z116" s="1"/>
    </row>
    <row r="117" spans="1:26" ht="17" customHeight="1" thickBot="1" x14ac:dyDescent="0.4">
      <c r="A117" s="4" t="s">
        <v>13</v>
      </c>
      <c r="B117" s="1" t="s">
        <v>55</v>
      </c>
      <c r="C117" s="1" t="s">
        <v>11</v>
      </c>
      <c r="D117" s="1" t="s">
        <v>21</v>
      </c>
      <c r="E117" s="2">
        <v>688.83</v>
      </c>
      <c r="F117" s="2">
        <v>15</v>
      </c>
      <c r="G117" s="2">
        <v>0</v>
      </c>
      <c r="H117" s="3">
        <v>45595</v>
      </c>
      <c r="I117" s="5">
        <v>172.21</v>
      </c>
      <c r="J117" s="2">
        <f>Sales_Data1[[#This Row],[Sales]]*Sales_Data1[[#This Row],[Quantity]]*(1-Sales_Data1[[#This Row],[Discount]])</f>
        <v>10332.450000000001</v>
      </c>
      <c r="K117" s="1"/>
      <c r="L117" s="1"/>
      <c r="M117" s="1"/>
      <c r="N117" s="1"/>
      <c r="O117" s="1"/>
      <c r="P117" s="1"/>
      <c r="Q117" s="1"/>
      <c r="R117" s="1"/>
      <c r="S117" s="1"/>
      <c r="T117" s="1"/>
      <c r="U117" s="1"/>
      <c r="V117" s="1"/>
      <c r="W117" s="1"/>
      <c r="X117" s="1"/>
      <c r="Y117" s="1"/>
      <c r="Z117" s="1"/>
    </row>
    <row r="118" spans="1:26" ht="17" customHeight="1" thickBot="1" x14ac:dyDescent="0.4">
      <c r="A118" s="4" t="s">
        <v>73</v>
      </c>
      <c r="B118" s="1" t="s">
        <v>29</v>
      </c>
      <c r="C118" s="1" t="s">
        <v>34</v>
      </c>
      <c r="D118" s="1" t="s">
        <v>12</v>
      </c>
      <c r="E118" s="2">
        <v>1249.0999999999999</v>
      </c>
      <c r="F118" s="2">
        <v>4</v>
      </c>
      <c r="G118" s="2">
        <v>0.05</v>
      </c>
      <c r="H118" s="3">
        <v>45597</v>
      </c>
      <c r="I118" s="5">
        <v>474.66</v>
      </c>
      <c r="J118" s="2">
        <f>Sales_Data1[[#This Row],[Sales]]*Sales_Data1[[#This Row],[Quantity]]*(1-Sales_Data1[[#This Row],[Discount]])</f>
        <v>4746.579999999999</v>
      </c>
      <c r="K118" s="1"/>
      <c r="L118" s="1"/>
      <c r="M118" s="1"/>
      <c r="N118" s="1"/>
      <c r="O118" s="1"/>
      <c r="P118" s="1"/>
      <c r="Q118" s="1"/>
      <c r="R118" s="1"/>
      <c r="S118" s="1"/>
      <c r="T118" s="1"/>
      <c r="U118" s="1"/>
      <c r="V118" s="1"/>
      <c r="W118" s="1"/>
      <c r="X118" s="1"/>
      <c r="Y118" s="1"/>
      <c r="Z118" s="1"/>
    </row>
    <row r="119" spans="1:26" ht="17" customHeight="1" thickBot="1" x14ac:dyDescent="0.4">
      <c r="A119" s="4" t="s">
        <v>44</v>
      </c>
      <c r="B119" s="1" t="s">
        <v>23</v>
      </c>
      <c r="C119" s="1" t="s">
        <v>18</v>
      </c>
      <c r="D119" s="1" t="s">
        <v>39</v>
      </c>
      <c r="E119" s="2">
        <v>1014.22</v>
      </c>
      <c r="F119" s="2">
        <v>14</v>
      </c>
      <c r="G119" s="2">
        <v>0.05</v>
      </c>
      <c r="H119" s="3">
        <v>45599</v>
      </c>
      <c r="I119" s="5">
        <v>433.58</v>
      </c>
      <c r="J119" s="2">
        <f>Sales_Data1[[#This Row],[Sales]]*Sales_Data1[[#This Row],[Quantity]]*(1-Sales_Data1[[#This Row],[Discount]])</f>
        <v>13489.126</v>
      </c>
      <c r="K119" s="1"/>
      <c r="L119" s="1"/>
      <c r="M119" s="1"/>
      <c r="N119" s="1"/>
      <c r="O119" s="1"/>
      <c r="P119" s="1"/>
      <c r="Q119" s="1"/>
      <c r="R119" s="1"/>
      <c r="S119" s="1"/>
      <c r="T119" s="1"/>
      <c r="U119" s="1"/>
      <c r="V119" s="1"/>
      <c r="W119" s="1"/>
      <c r="X119" s="1"/>
      <c r="Y119" s="1"/>
      <c r="Z119" s="1"/>
    </row>
    <row r="120" spans="1:26" ht="17" customHeight="1" thickBot="1" x14ac:dyDescent="0.4">
      <c r="A120" s="4" t="s">
        <v>54</v>
      </c>
      <c r="B120" s="1" t="s">
        <v>48</v>
      </c>
      <c r="C120" s="1" t="s">
        <v>18</v>
      </c>
      <c r="D120" s="1" t="s">
        <v>12</v>
      </c>
      <c r="E120" s="2">
        <v>1010.58</v>
      </c>
      <c r="F120" s="2">
        <v>2</v>
      </c>
      <c r="G120" s="2">
        <v>0.15</v>
      </c>
      <c r="H120" s="3">
        <v>45605</v>
      </c>
      <c r="I120" s="5">
        <v>343.6</v>
      </c>
      <c r="J120" s="2">
        <f>Sales_Data1[[#This Row],[Sales]]*Sales_Data1[[#This Row],[Quantity]]*(1-Sales_Data1[[#This Row],[Discount]])</f>
        <v>1717.9860000000001</v>
      </c>
      <c r="K120" s="1"/>
      <c r="L120" s="1"/>
      <c r="M120" s="1"/>
      <c r="N120" s="1"/>
      <c r="O120" s="1"/>
      <c r="P120" s="1"/>
      <c r="Q120" s="1"/>
      <c r="R120" s="1"/>
      <c r="S120" s="1"/>
      <c r="T120" s="1"/>
      <c r="U120" s="1"/>
      <c r="V120" s="1"/>
      <c r="W120" s="1"/>
      <c r="X120" s="1"/>
      <c r="Y120" s="1"/>
      <c r="Z120" s="1"/>
    </row>
    <row r="121" spans="1:26" ht="17" customHeight="1" thickBot="1" x14ac:dyDescent="0.4">
      <c r="A121" s="4" t="s">
        <v>30</v>
      </c>
      <c r="B121" s="1" t="s">
        <v>59</v>
      </c>
      <c r="C121" s="1" t="s">
        <v>24</v>
      </c>
      <c r="D121" s="1" t="s">
        <v>27</v>
      </c>
      <c r="E121" s="2">
        <v>957.29</v>
      </c>
      <c r="F121" s="2">
        <v>4</v>
      </c>
      <c r="G121" s="2">
        <v>0.05</v>
      </c>
      <c r="H121" s="3">
        <v>45605</v>
      </c>
      <c r="I121" s="5">
        <v>318.3</v>
      </c>
      <c r="J121" s="2">
        <f>Sales_Data1[[#This Row],[Sales]]*Sales_Data1[[#This Row],[Quantity]]*(1-Sales_Data1[[#This Row],[Discount]])</f>
        <v>3637.7019999999998</v>
      </c>
      <c r="K121" s="1"/>
      <c r="L121" s="1"/>
      <c r="M121" s="1"/>
      <c r="N121" s="1"/>
      <c r="O121" s="1"/>
      <c r="P121" s="1"/>
      <c r="Q121" s="1"/>
      <c r="R121" s="1"/>
      <c r="S121" s="1"/>
      <c r="T121" s="1"/>
      <c r="U121" s="1"/>
      <c r="V121" s="1"/>
      <c r="W121" s="1"/>
      <c r="X121" s="1"/>
      <c r="Y121" s="1"/>
      <c r="Z121" s="1"/>
    </row>
    <row r="122" spans="1:26" ht="17" customHeight="1" thickBot="1" x14ac:dyDescent="0.4">
      <c r="A122" s="4" t="s">
        <v>28</v>
      </c>
      <c r="B122" s="1" t="s">
        <v>45</v>
      </c>
      <c r="C122" s="1" t="s">
        <v>24</v>
      </c>
      <c r="D122" s="1" t="s">
        <v>27</v>
      </c>
      <c r="E122" s="2">
        <v>1077.92</v>
      </c>
      <c r="F122" s="2">
        <v>3</v>
      </c>
      <c r="G122" s="2">
        <v>0.05</v>
      </c>
      <c r="H122" s="3">
        <v>45608</v>
      </c>
      <c r="I122" s="5">
        <v>358.41</v>
      </c>
      <c r="J122" s="2">
        <f>Sales_Data1[[#This Row],[Sales]]*Sales_Data1[[#This Row],[Quantity]]*(1-Sales_Data1[[#This Row],[Discount]])</f>
        <v>3072.0720000000001</v>
      </c>
      <c r="K122" s="1"/>
      <c r="L122" s="1"/>
      <c r="M122" s="1"/>
      <c r="N122" s="1"/>
      <c r="O122" s="1"/>
      <c r="P122" s="1"/>
      <c r="Q122" s="1"/>
      <c r="R122" s="1"/>
      <c r="S122" s="1"/>
      <c r="T122" s="1"/>
      <c r="U122" s="1"/>
      <c r="V122" s="1"/>
      <c r="W122" s="1"/>
      <c r="X122" s="1"/>
      <c r="Y122" s="1"/>
      <c r="Z122" s="1"/>
    </row>
    <row r="123" spans="1:26" ht="17" customHeight="1" thickBot="1" x14ac:dyDescent="0.4">
      <c r="A123" s="4" t="s">
        <v>52</v>
      </c>
      <c r="B123" s="1" t="s">
        <v>50</v>
      </c>
      <c r="C123" s="1" t="s">
        <v>20</v>
      </c>
      <c r="D123" s="1" t="s">
        <v>15</v>
      </c>
      <c r="E123" s="2">
        <v>1163.01</v>
      </c>
      <c r="F123" s="2">
        <v>5</v>
      </c>
      <c r="G123" s="2">
        <v>0</v>
      </c>
      <c r="H123" s="3">
        <v>45611</v>
      </c>
      <c r="I123" s="5">
        <v>581.5</v>
      </c>
      <c r="J123" s="2">
        <f>Sales_Data1[[#This Row],[Sales]]*Sales_Data1[[#This Row],[Quantity]]*(1-Sales_Data1[[#This Row],[Discount]])</f>
        <v>5815.05</v>
      </c>
      <c r="K123" s="1"/>
      <c r="L123" s="1"/>
      <c r="M123" s="1"/>
      <c r="N123" s="1"/>
      <c r="O123" s="1"/>
      <c r="P123" s="1"/>
      <c r="Q123" s="1"/>
      <c r="R123" s="1"/>
      <c r="S123" s="1"/>
      <c r="T123" s="1"/>
      <c r="U123" s="1"/>
      <c r="V123" s="1"/>
      <c r="W123" s="1"/>
      <c r="X123" s="1"/>
      <c r="Y123" s="1"/>
      <c r="Z123" s="1"/>
    </row>
    <row r="124" spans="1:26" ht="17" customHeight="1" thickBot="1" x14ac:dyDescent="0.4">
      <c r="A124" s="4" t="s">
        <v>54</v>
      </c>
      <c r="B124" s="1" t="s">
        <v>45</v>
      </c>
      <c r="C124" s="1" t="s">
        <v>18</v>
      </c>
      <c r="D124" s="1" t="s">
        <v>39</v>
      </c>
      <c r="E124" s="2">
        <v>1014.56</v>
      </c>
      <c r="F124" s="2">
        <v>10</v>
      </c>
      <c r="G124" s="2">
        <v>0.1</v>
      </c>
      <c r="H124" s="3">
        <v>45612</v>
      </c>
      <c r="I124" s="5">
        <v>410.9</v>
      </c>
      <c r="J124" s="2">
        <f>Sales_Data1[[#This Row],[Sales]]*Sales_Data1[[#This Row],[Quantity]]*(1-Sales_Data1[[#This Row],[Discount]])</f>
        <v>9131.0399999999991</v>
      </c>
      <c r="K124" s="1"/>
      <c r="L124" s="1"/>
      <c r="M124" s="1"/>
      <c r="N124" s="1"/>
      <c r="O124" s="1"/>
      <c r="P124" s="1"/>
      <c r="Q124" s="1"/>
      <c r="R124" s="1"/>
      <c r="S124" s="1"/>
      <c r="T124" s="1"/>
      <c r="U124" s="1"/>
      <c r="V124" s="1"/>
      <c r="W124" s="1"/>
      <c r="X124" s="1"/>
      <c r="Y124" s="1"/>
      <c r="Z124" s="1"/>
    </row>
    <row r="125" spans="1:26" ht="17" customHeight="1" thickBot="1" x14ac:dyDescent="0.4">
      <c r="A125" s="4" t="s">
        <v>9</v>
      </c>
      <c r="B125" s="1" t="s">
        <v>17</v>
      </c>
      <c r="C125" s="1" t="s">
        <v>20</v>
      </c>
      <c r="D125" s="1" t="s">
        <v>21</v>
      </c>
      <c r="E125" s="2">
        <v>718.04</v>
      </c>
      <c r="F125" s="2">
        <v>14</v>
      </c>
      <c r="G125" s="2">
        <v>0</v>
      </c>
      <c r="H125" s="3">
        <v>45613</v>
      </c>
      <c r="I125" s="5">
        <v>179.51</v>
      </c>
      <c r="J125" s="2">
        <f>Sales_Data1[[#This Row],[Sales]]*Sales_Data1[[#This Row],[Quantity]]*(1-Sales_Data1[[#This Row],[Discount]])</f>
        <v>10052.56</v>
      </c>
      <c r="K125" s="1"/>
      <c r="L125" s="1"/>
      <c r="M125" s="1"/>
      <c r="N125" s="1"/>
      <c r="O125" s="1"/>
      <c r="P125" s="1"/>
      <c r="Q125" s="1"/>
      <c r="R125" s="1"/>
      <c r="S125" s="1"/>
      <c r="T125" s="1"/>
      <c r="U125" s="1"/>
      <c r="V125" s="1"/>
      <c r="W125" s="1"/>
      <c r="X125" s="1"/>
      <c r="Y125" s="1"/>
      <c r="Z125" s="1"/>
    </row>
    <row r="126" spans="1:26" ht="17" customHeight="1" thickBot="1" x14ac:dyDescent="0.4">
      <c r="A126" s="4" t="s">
        <v>72</v>
      </c>
      <c r="B126" s="1" t="s">
        <v>17</v>
      </c>
      <c r="C126" s="1" t="s">
        <v>34</v>
      </c>
      <c r="D126" s="1" t="s">
        <v>15</v>
      </c>
      <c r="E126" s="2">
        <v>1277.8499999999999</v>
      </c>
      <c r="F126" s="2">
        <v>18</v>
      </c>
      <c r="G126" s="2">
        <v>0.2</v>
      </c>
      <c r="H126" s="3">
        <v>45613</v>
      </c>
      <c r="I126" s="5">
        <v>511.14</v>
      </c>
      <c r="J126" s="2">
        <f>Sales_Data1[[#This Row],[Sales]]*Sales_Data1[[#This Row],[Quantity]]*(1-Sales_Data1[[#This Row],[Discount]])</f>
        <v>18401.04</v>
      </c>
      <c r="K126" s="1"/>
      <c r="L126" s="1"/>
      <c r="M126" s="1"/>
      <c r="N126" s="1"/>
      <c r="O126" s="1"/>
      <c r="P126" s="1"/>
      <c r="Q126" s="1"/>
      <c r="R126" s="1"/>
      <c r="S126" s="1"/>
      <c r="T126" s="1"/>
      <c r="U126" s="1"/>
      <c r="V126" s="1"/>
      <c r="W126" s="1"/>
      <c r="X126" s="1"/>
      <c r="Y126" s="1"/>
      <c r="Z126" s="1"/>
    </row>
    <row r="127" spans="1:26" ht="17" customHeight="1" thickBot="1" x14ac:dyDescent="0.4">
      <c r="A127" s="4" t="s">
        <v>70</v>
      </c>
      <c r="B127" s="1" t="s">
        <v>23</v>
      </c>
      <c r="C127" s="1" t="s">
        <v>24</v>
      </c>
      <c r="D127" s="1" t="s">
        <v>21</v>
      </c>
      <c r="E127" s="2">
        <v>706.73</v>
      </c>
      <c r="F127" s="2">
        <v>1</v>
      </c>
      <c r="G127" s="2">
        <v>0.15</v>
      </c>
      <c r="H127" s="3">
        <v>45613</v>
      </c>
      <c r="I127" s="5">
        <v>150.18</v>
      </c>
      <c r="J127" s="2">
        <f>Sales_Data1[[#This Row],[Sales]]*Sales_Data1[[#This Row],[Quantity]]*(1-Sales_Data1[[#This Row],[Discount]])</f>
        <v>600.72050000000002</v>
      </c>
      <c r="K127" s="1"/>
      <c r="L127" s="1"/>
      <c r="M127" s="1"/>
      <c r="N127" s="1"/>
      <c r="O127" s="1"/>
      <c r="P127" s="1"/>
      <c r="Q127" s="1"/>
      <c r="R127" s="1"/>
      <c r="S127" s="1"/>
      <c r="T127" s="1"/>
      <c r="U127" s="1"/>
      <c r="V127" s="1"/>
      <c r="W127" s="1"/>
      <c r="X127" s="1"/>
      <c r="Y127" s="1"/>
      <c r="Z127" s="1"/>
    </row>
    <row r="128" spans="1:26" ht="17" customHeight="1" thickBot="1" x14ac:dyDescent="0.4">
      <c r="A128" s="4" t="s">
        <v>65</v>
      </c>
      <c r="B128" s="1" t="s">
        <v>50</v>
      </c>
      <c r="C128" s="1" t="s">
        <v>18</v>
      </c>
      <c r="D128" s="1" t="s">
        <v>21</v>
      </c>
      <c r="E128" s="2">
        <v>1410.59</v>
      </c>
      <c r="F128" s="2">
        <v>15</v>
      </c>
      <c r="G128" s="2">
        <v>0</v>
      </c>
      <c r="H128" s="3">
        <v>45615</v>
      </c>
      <c r="I128" s="5">
        <v>352.65</v>
      </c>
      <c r="J128" s="2">
        <f>Sales_Data1[[#This Row],[Sales]]*Sales_Data1[[#This Row],[Quantity]]*(1-Sales_Data1[[#This Row],[Discount]])</f>
        <v>21158.85</v>
      </c>
      <c r="K128" s="1"/>
      <c r="L128" s="1"/>
      <c r="M128" s="1"/>
      <c r="N128" s="1"/>
      <c r="O128" s="1"/>
      <c r="P128" s="1"/>
      <c r="Q128" s="1"/>
      <c r="R128" s="1"/>
      <c r="S128" s="1"/>
      <c r="T128" s="1"/>
      <c r="U128" s="1"/>
      <c r="V128" s="1"/>
      <c r="W128" s="1"/>
      <c r="X128" s="1"/>
      <c r="Y128" s="1"/>
      <c r="Z128" s="1"/>
    </row>
    <row r="129" spans="1:26" ht="17" customHeight="1" thickBot="1" x14ac:dyDescent="0.4">
      <c r="A129" s="4" t="s">
        <v>32</v>
      </c>
      <c r="B129" s="1" t="s">
        <v>61</v>
      </c>
      <c r="C129" s="1" t="s">
        <v>20</v>
      </c>
      <c r="D129" s="1" t="s">
        <v>27</v>
      </c>
      <c r="E129" s="2">
        <v>1350.33</v>
      </c>
      <c r="F129" s="2">
        <v>10</v>
      </c>
      <c r="G129" s="2">
        <v>0</v>
      </c>
      <c r="H129" s="3">
        <v>45615</v>
      </c>
      <c r="I129" s="5">
        <v>472.62</v>
      </c>
      <c r="J129" s="2">
        <f>Sales_Data1[[#This Row],[Sales]]*Sales_Data1[[#This Row],[Quantity]]*(1-Sales_Data1[[#This Row],[Discount]])</f>
        <v>13503.3</v>
      </c>
      <c r="K129" s="1"/>
      <c r="L129" s="1"/>
      <c r="M129" s="1"/>
      <c r="N129" s="1"/>
      <c r="O129" s="1"/>
      <c r="P129" s="1"/>
      <c r="Q129" s="1"/>
      <c r="R129" s="1"/>
      <c r="S129" s="1"/>
      <c r="T129" s="1"/>
      <c r="U129" s="1"/>
      <c r="V129" s="1"/>
      <c r="W129" s="1"/>
      <c r="X129" s="1"/>
      <c r="Y129" s="1"/>
      <c r="Z129" s="1"/>
    </row>
    <row r="130" spans="1:26" ht="17" customHeight="1" thickBot="1" x14ac:dyDescent="0.4">
      <c r="A130" s="4" t="s">
        <v>41</v>
      </c>
      <c r="B130" s="1" t="s">
        <v>45</v>
      </c>
      <c r="C130" s="1" t="s">
        <v>18</v>
      </c>
      <c r="D130" s="1" t="s">
        <v>21</v>
      </c>
      <c r="E130" s="2">
        <v>919.18</v>
      </c>
      <c r="F130" s="2">
        <v>4</v>
      </c>
      <c r="G130" s="2">
        <v>0.15</v>
      </c>
      <c r="H130" s="3">
        <v>45615</v>
      </c>
      <c r="I130" s="5">
        <v>195.33</v>
      </c>
      <c r="J130" s="2">
        <f>Sales_Data1[[#This Row],[Sales]]*Sales_Data1[[#This Row],[Quantity]]*(1-Sales_Data1[[#This Row],[Discount]])</f>
        <v>3125.2119999999995</v>
      </c>
      <c r="K130" s="1"/>
      <c r="L130" s="1"/>
      <c r="M130" s="1"/>
      <c r="N130" s="1"/>
      <c r="O130" s="1"/>
      <c r="P130" s="1"/>
      <c r="Q130" s="1"/>
      <c r="R130" s="1"/>
      <c r="S130" s="1"/>
      <c r="T130" s="1"/>
      <c r="U130" s="1"/>
      <c r="V130" s="1"/>
      <c r="W130" s="1"/>
      <c r="X130" s="1"/>
      <c r="Y130" s="1"/>
      <c r="Z130" s="1"/>
    </row>
    <row r="131" spans="1:26" ht="17" customHeight="1" thickBot="1" x14ac:dyDescent="0.4">
      <c r="A131" s="4" t="s">
        <v>74</v>
      </c>
      <c r="B131" s="1" t="s">
        <v>23</v>
      </c>
      <c r="C131" s="1" t="s">
        <v>11</v>
      </c>
      <c r="D131" s="1" t="s">
        <v>21</v>
      </c>
      <c r="E131" s="2">
        <v>258.51</v>
      </c>
      <c r="F131" s="2">
        <v>19</v>
      </c>
      <c r="G131" s="2">
        <v>0</v>
      </c>
      <c r="H131" s="3">
        <v>45616</v>
      </c>
      <c r="I131" s="5">
        <v>64.63</v>
      </c>
      <c r="J131" s="2">
        <f>Sales_Data1[[#This Row],[Sales]]*Sales_Data1[[#This Row],[Quantity]]*(1-Sales_Data1[[#This Row],[Discount]])</f>
        <v>4911.6899999999996</v>
      </c>
      <c r="K131" s="1"/>
      <c r="L131" s="1"/>
      <c r="M131" s="1"/>
      <c r="N131" s="1"/>
      <c r="O131" s="1"/>
      <c r="P131" s="1"/>
      <c r="Q131" s="1"/>
      <c r="R131" s="1"/>
      <c r="S131" s="1"/>
      <c r="T131" s="1"/>
      <c r="U131" s="1"/>
      <c r="V131" s="1"/>
      <c r="W131" s="1"/>
      <c r="X131" s="1"/>
      <c r="Y131" s="1"/>
      <c r="Z131" s="1"/>
    </row>
    <row r="132" spans="1:26" ht="17" customHeight="1" thickBot="1" x14ac:dyDescent="0.4">
      <c r="A132" s="4" t="s">
        <v>63</v>
      </c>
      <c r="B132" s="1" t="s">
        <v>61</v>
      </c>
      <c r="C132" s="1" t="s">
        <v>18</v>
      </c>
      <c r="D132" s="1" t="s">
        <v>12</v>
      </c>
      <c r="E132" s="2">
        <v>1213.48</v>
      </c>
      <c r="F132" s="2">
        <v>5</v>
      </c>
      <c r="G132" s="2">
        <v>0.05</v>
      </c>
      <c r="H132" s="3">
        <v>45616</v>
      </c>
      <c r="I132" s="5">
        <v>461.12</v>
      </c>
      <c r="J132" s="2">
        <f>Sales_Data1[[#This Row],[Sales]]*Sales_Data1[[#This Row],[Quantity]]*(1-Sales_Data1[[#This Row],[Discount]])</f>
        <v>5764.03</v>
      </c>
      <c r="K132" s="1"/>
      <c r="L132" s="1"/>
      <c r="M132" s="1"/>
      <c r="N132" s="1"/>
      <c r="O132" s="1"/>
      <c r="P132" s="1"/>
      <c r="Q132" s="1"/>
      <c r="R132" s="1"/>
      <c r="S132" s="1"/>
      <c r="T132" s="1"/>
      <c r="U132" s="1"/>
      <c r="V132" s="1"/>
      <c r="W132" s="1"/>
      <c r="X132" s="1"/>
      <c r="Y132" s="1"/>
      <c r="Z132" s="1"/>
    </row>
    <row r="133" spans="1:26" ht="17" customHeight="1" thickBot="1" x14ac:dyDescent="0.4">
      <c r="A133" s="4" t="s">
        <v>57</v>
      </c>
      <c r="B133" s="1" t="s">
        <v>38</v>
      </c>
      <c r="C133" s="1" t="s">
        <v>34</v>
      </c>
      <c r="D133" s="1" t="s">
        <v>12</v>
      </c>
      <c r="E133" s="2">
        <v>1150.28</v>
      </c>
      <c r="F133" s="2">
        <v>8</v>
      </c>
      <c r="G133" s="2">
        <v>0.05</v>
      </c>
      <c r="H133" s="3">
        <v>45622</v>
      </c>
      <c r="I133" s="5">
        <v>437.11</v>
      </c>
      <c r="J133" s="2">
        <f>Sales_Data1[[#This Row],[Sales]]*Sales_Data1[[#This Row],[Quantity]]*(1-Sales_Data1[[#This Row],[Discount]])</f>
        <v>8742.1279999999988</v>
      </c>
      <c r="K133" s="1"/>
      <c r="L133" s="1"/>
      <c r="M133" s="1"/>
      <c r="N133" s="1"/>
      <c r="O133" s="1"/>
      <c r="P133" s="1"/>
      <c r="Q133" s="1"/>
      <c r="R133" s="1"/>
      <c r="S133" s="1"/>
      <c r="T133" s="1"/>
      <c r="U133" s="1"/>
      <c r="V133" s="1"/>
      <c r="W133" s="1"/>
      <c r="X133" s="1"/>
      <c r="Y133" s="1"/>
      <c r="Z133" s="1"/>
    </row>
    <row r="134" spans="1:26" ht="17" customHeight="1" thickBot="1" x14ac:dyDescent="0.4">
      <c r="A134" s="4" t="s">
        <v>37</v>
      </c>
      <c r="B134" s="1" t="s">
        <v>71</v>
      </c>
      <c r="C134" s="1" t="s">
        <v>20</v>
      </c>
      <c r="D134" s="1" t="s">
        <v>27</v>
      </c>
      <c r="E134" s="2">
        <v>853.86</v>
      </c>
      <c r="F134" s="2">
        <v>8</v>
      </c>
      <c r="G134" s="2">
        <v>0.1</v>
      </c>
      <c r="H134" s="3">
        <v>45622</v>
      </c>
      <c r="I134" s="5">
        <v>268.97000000000003</v>
      </c>
      <c r="J134" s="2">
        <f>Sales_Data1[[#This Row],[Sales]]*Sales_Data1[[#This Row],[Quantity]]*(1-Sales_Data1[[#This Row],[Discount]])</f>
        <v>6147.7920000000004</v>
      </c>
      <c r="K134" s="1"/>
      <c r="L134" s="1"/>
      <c r="M134" s="1"/>
      <c r="N134" s="1"/>
      <c r="O134" s="1"/>
      <c r="P134" s="1"/>
      <c r="Q134" s="1"/>
      <c r="R134" s="1"/>
      <c r="S134" s="1"/>
      <c r="T134" s="1"/>
      <c r="U134" s="1"/>
      <c r="V134" s="1"/>
      <c r="W134" s="1"/>
      <c r="X134" s="1"/>
      <c r="Y134" s="1"/>
      <c r="Z134" s="1"/>
    </row>
    <row r="135" spans="1:26" ht="17" customHeight="1" thickBot="1" x14ac:dyDescent="0.4">
      <c r="A135" s="4" t="s">
        <v>75</v>
      </c>
      <c r="B135" s="1" t="s">
        <v>45</v>
      </c>
      <c r="C135" s="1" t="s">
        <v>20</v>
      </c>
      <c r="D135" s="1" t="s">
        <v>21</v>
      </c>
      <c r="E135" s="2">
        <v>1061.04</v>
      </c>
      <c r="F135" s="2">
        <v>1</v>
      </c>
      <c r="G135" s="2">
        <v>0</v>
      </c>
      <c r="H135" s="3">
        <v>45624</v>
      </c>
      <c r="I135" s="5">
        <v>265.26</v>
      </c>
      <c r="J135" s="2">
        <f>Sales_Data1[[#This Row],[Sales]]*Sales_Data1[[#This Row],[Quantity]]*(1-Sales_Data1[[#This Row],[Discount]])</f>
        <v>1061.04</v>
      </c>
      <c r="K135" s="1"/>
      <c r="L135" s="1"/>
      <c r="M135" s="1"/>
      <c r="N135" s="1"/>
      <c r="O135" s="1"/>
      <c r="P135" s="1"/>
      <c r="Q135" s="1"/>
      <c r="R135" s="1"/>
      <c r="S135" s="1"/>
      <c r="T135" s="1"/>
      <c r="U135" s="1"/>
      <c r="V135" s="1"/>
      <c r="W135" s="1"/>
      <c r="X135" s="1"/>
      <c r="Y135" s="1"/>
      <c r="Z135" s="1"/>
    </row>
    <row r="136" spans="1:26" ht="17" customHeight="1" thickBot="1" x14ac:dyDescent="0.4">
      <c r="A136" s="4" t="s">
        <v>28</v>
      </c>
      <c r="B136" s="1" t="s">
        <v>43</v>
      </c>
      <c r="C136" s="1" t="s">
        <v>11</v>
      </c>
      <c r="D136" s="1" t="s">
        <v>21</v>
      </c>
      <c r="E136" s="2">
        <v>894.55</v>
      </c>
      <c r="F136" s="2">
        <v>19</v>
      </c>
      <c r="G136" s="2">
        <v>0.2</v>
      </c>
      <c r="H136" s="3">
        <v>45625</v>
      </c>
      <c r="I136" s="5">
        <v>178.91</v>
      </c>
      <c r="J136" s="2">
        <f>Sales_Data1[[#This Row],[Sales]]*Sales_Data1[[#This Row],[Quantity]]*(1-Sales_Data1[[#This Row],[Discount]])</f>
        <v>13597.160000000002</v>
      </c>
      <c r="K136" s="1"/>
      <c r="L136" s="1"/>
      <c r="M136" s="1"/>
      <c r="N136" s="1"/>
      <c r="O136" s="1"/>
      <c r="P136" s="1"/>
      <c r="Q136" s="1"/>
      <c r="R136" s="1"/>
      <c r="S136" s="1"/>
      <c r="T136" s="1"/>
      <c r="U136" s="1"/>
      <c r="V136" s="1"/>
      <c r="W136" s="1"/>
      <c r="X136" s="1"/>
      <c r="Y136" s="1"/>
      <c r="Z136" s="1"/>
    </row>
    <row r="137" spans="1:26" ht="17" customHeight="1" thickBot="1" x14ac:dyDescent="0.4">
      <c r="A137" s="4" t="s">
        <v>25</v>
      </c>
      <c r="B137" s="1" t="s">
        <v>38</v>
      </c>
      <c r="C137" s="1" t="s">
        <v>24</v>
      </c>
      <c r="D137" s="1" t="s">
        <v>39</v>
      </c>
      <c r="E137" s="2">
        <v>833.91</v>
      </c>
      <c r="F137" s="2">
        <v>3</v>
      </c>
      <c r="G137" s="2">
        <v>0.05</v>
      </c>
      <c r="H137" s="3">
        <v>45626</v>
      </c>
      <c r="I137" s="5">
        <v>356.5</v>
      </c>
      <c r="J137" s="2">
        <f>Sales_Data1[[#This Row],[Sales]]*Sales_Data1[[#This Row],[Quantity]]*(1-Sales_Data1[[#This Row],[Discount]])</f>
        <v>2376.6435000000001</v>
      </c>
      <c r="K137" s="1"/>
      <c r="L137" s="1"/>
      <c r="M137" s="1"/>
      <c r="N137" s="1"/>
      <c r="O137" s="1"/>
      <c r="P137" s="1"/>
      <c r="Q137" s="1"/>
      <c r="R137" s="1"/>
      <c r="S137" s="1"/>
      <c r="T137" s="1"/>
      <c r="U137" s="1"/>
      <c r="V137" s="1"/>
      <c r="W137" s="1"/>
      <c r="X137" s="1"/>
      <c r="Y137" s="1"/>
      <c r="Z137" s="1"/>
    </row>
    <row r="138" spans="1:26" ht="17" customHeight="1" thickBot="1" x14ac:dyDescent="0.4">
      <c r="A138" s="4" t="s">
        <v>58</v>
      </c>
      <c r="B138" s="1" t="s">
        <v>71</v>
      </c>
      <c r="C138" s="1" t="s">
        <v>11</v>
      </c>
      <c r="D138" s="1" t="s">
        <v>27</v>
      </c>
      <c r="E138" s="2">
        <v>820.19</v>
      </c>
      <c r="F138" s="2">
        <v>4</v>
      </c>
      <c r="G138" s="2">
        <v>0.2</v>
      </c>
      <c r="H138" s="3">
        <v>45630</v>
      </c>
      <c r="I138" s="5">
        <v>229.65</v>
      </c>
      <c r="J138" s="2">
        <f>Sales_Data1[[#This Row],[Sales]]*Sales_Data1[[#This Row],[Quantity]]*(1-Sales_Data1[[#This Row],[Discount]])</f>
        <v>2624.6080000000002</v>
      </c>
      <c r="K138" s="1"/>
      <c r="L138" s="1"/>
      <c r="M138" s="1"/>
      <c r="N138" s="1"/>
      <c r="O138" s="1"/>
      <c r="P138" s="1"/>
      <c r="Q138" s="1"/>
      <c r="R138" s="1"/>
      <c r="S138" s="1"/>
      <c r="T138" s="1"/>
      <c r="U138" s="1"/>
      <c r="V138" s="1"/>
      <c r="W138" s="1"/>
      <c r="X138" s="1"/>
      <c r="Y138" s="1"/>
      <c r="Z138" s="1"/>
    </row>
    <row r="139" spans="1:26" ht="17" customHeight="1" thickBot="1" x14ac:dyDescent="0.4">
      <c r="A139" s="4" t="s">
        <v>58</v>
      </c>
      <c r="B139" s="1" t="s">
        <v>38</v>
      </c>
      <c r="C139" s="1" t="s">
        <v>34</v>
      </c>
      <c r="D139" s="1" t="s">
        <v>21</v>
      </c>
      <c r="E139" s="2">
        <v>511.74</v>
      </c>
      <c r="F139" s="2">
        <v>8</v>
      </c>
      <c r="G139" s="2">
        <v>0.05</v>
      </c>
      <c r="H139" s="3">
        <v>45631</v>
      </c>
      <c r="I139" s="5">
        <v>121.54</v>
      </c>
      <c r="J139" s="2">
        <f>Sales_Data1[[#This Row],[Sales]]*Sales_Data1[[#This Row],[Quantity]]*(1-Sales_Data1[[#This Row],[Discount]])</f>
        <v>3889.2239999999997</v>
      </c>
      <c r="K139" s="1"/>
      <c r="L139" s="1"/>
      <c r="M139" s="1"/>
      <c r="N139" s="1"/>
      <c r="O139" s="1"/>
      <c r="P139" s="1"/>
      <c r="Q139" s="1"/>
      <c r="R139" s="1"/>
      <c r="S139" s="1"/>
      <c r="T139" s="1"/>
      <c r="U139" s="1"/>
      <c r="V139" s="1"/>
      <c r="W139" s="1"/>
      <c r="X139" s="1"/>
      <c r="Y139" s="1"/>
      <c r="Z139" s="1"/>
    </row>
    <row r="140" spans="1:26" ht="17" customHeight="1" thickBot="1" x14ac:dyDescent="0.4">
      <c r="A140" s="4" t="s">
        <v>65</v>
      </c>
      <c r="B140" s="1" t="s">
        <v>61</v>
      </c>
      <c r="C140" s="1" t="s">
        <v>20</v>
      </c>
      <c r="D140" s="1" t="s">
        <v>27</v>
      </c>
      <c r="E140" s="2">
        <v>806.03</v>
      </c>
      <c r="F140" s="2">
        <v>19</v>
      </c>
      <c r="G140" s="2">
        <v>0.05</v>
      </c>
      <c r="H140" s="3">
        <v>45638</v>
      </c>
      <c r="I140" s="5">
        <v>268</v>
      </c>
      <c r="J140" s="2">
        <f>Sales_Data1[[#This Row],[Sales]]*Sales_Data1[[#This Row],[Quantity]]*(1-Sales_Data1[[#This Row],[Discount]])</f>
        <v>14548.841499999999</v>
      </c>
      <c r="K140" s="1"/>
      <c r="L140" s="1"/>
      <c r="M140" s="1"/>
      <c r="N140" s="1"/>
      <c r="O140" s="1"/>
      <c r="P140" s="1"/>
      <c r="Q140" s="1"/>
      <c r="R140" s="1"/>
      <c r="S140" s="1"/>
      <c r="T140" s="1"/>
      <c r="U140" s="1"/>
      <c r="V140" s="1"/>
      <c r="W140" s="1"/>
      <c r="X140" s="1"/>
      <c r="Y140" s="1"/>
      <c r="Z140" s="1"/>
    </row>
    <row r="141" spans="1:26" ht="17" customHeight="1" thickBot="1" x14ac:dyDescent="0.4">
      <c r="A141" s="4" t="s">
        <v>28</v>
      </c>
      <c r="B141" s="1" t="s">
        <v>26</v>
      </c>
      <c r="C141" s="1" t="s">
        <v>34</v>
      </c>
      <c r="D141" s="1" t="s">
        <v>27</v>
      </c>
      <c r="E141" s="2">
        <v>1432.47</v>
      </c>
      <c r="F141" s="2">
        <v>16</v>
      </c>
      <c r="G141" s="2">
        <v>0.15</v>
      </c>
      <c r="H141" s="3">
        <v>45640</v>
      </c>
      <c r="I141" s="5">
        <v>426.16</v>
      </c>
      <c r="J141" s="2">
        <f>Sales_Data1[[#This Row],[Sales]]*Sales_Data1[[#This Row],[Quantity]]*(1-Sales_Data1[[#This Row],[Discount]])</f>
        <v>19481.592000000001</v>
      </c>
      <c r="K141" s="1"/>
      <c r="L141" s="1"/>
      <c r="M141" s="1"/>
      <c r="N141" s="1"/>
      <c r="O141" s="1"/>
      <c r="P141" s="1"/>
      <c r="Q141" s="1"/>
      <c r="R141" s="1"/>
      <c r="S141" s="1"/>
      <c r="T141" s="1"/>
      <c r="U141" s="1"/>
      <c r="V141" s="1"/>
      <c r="W141" s="1"/>
      <c r="X141" s="1"/>
      <c r="Y141" s="1"/>
      <c r="Z141" s="1"/>
    </row>
    <row r="142" spans="1:26" ht="17" customHeight="1" thickBot="1" x14ac:dyDescent="0.4">
      <c r="A142" s="4" t="s">
        <v>74</v>
      </c>
      <c r="B142" s="1" t="s">
        <v>29</v>
      </c>
      <c r="C142" s="1" t="s">
        <v>34</v>
      </c>
      <c r="D142" s="1" t="s">
        <v>21</v>
      </c>
      <c r="E142" s="2">
        <v>1488.58</v>
      </c>
      <c r="F142" s="2">
        <v>10</v>
      </c>
      <c r="G142" s="2">
        <v>0.15</v>
      </c>
      <c r="H142" s="3">
        <v>45640</v>
      </c>
      <c r="I142" s="5">
        <v>316.32</v>
      </c>
      <c r="J142" s="2">
        <f>Sales_Data1[[#This Row],[Sales]]*Sales_Data1[[#This Row],[Quantity]]*(1-Sales_Data1[[#This Row],[Discount]])</f>
        <v>12652.929999999998</v>
      </c>
      <c r="K142" s="1"/>
      <c r="L142" s="1"/>
      <c r="M142" s="1"/>
      <c r="N142" s="1"/>
      <c r="O142" s="1"/>
      <c r="P142" s="1"/>
      <c r="Q142" s="1"/>
      <c r="R142" s="1"/>
      <c r="S142" s="1"/>
      <c r="T142" s="1"/>
      <c r="U142" s="1"/>
      <c r="V142" s="1"/>
      <c r="W142" s="1"/>
      <c r="X142" s="1"/>
      <c r="Y142" s="1"/>
      <c r="Z142" s="1"/>
    </row>
    <row r="143" spans="1:26" ht="17" customHeight="1" thickBot="1" x14ac:dyDescent="0.4">
      <c r="A143" s="4" t="s">
        <v>30</v>
      </c>
      <c r="B143" s="1" t="s">
        <v>66</v>
      </c>
      <c r="C143" s="1" t="s">
        <v>18</v>
      </c>
      <c r="D143" s="1" t="s">
        <v>12</v>
      </c>
      <c r="E143" s="2">
        <v>1231.26</v>
      </c>
      <c r="F143" s="2">
        <v>9</v>
      </c>
      <c r="G143" s="2">
        <v>0</v>
      </c>
      <c r="H143" s="3">
        <v>45646</v>
      </c>
      <c r="I143" s="5">
        <v>492.5</v>
      </c>
      <c r="J143" s="2">
        <f>Sales_Data1[[#This Row],[Sales]]*Sales_Data1[[#This Row],[Quantity]]*(1-Sales_Data1[[#This Row],[Discount]])</f>
        <v>11081.34</v>
      </c>
      <c r="K143" s="1"/>
      <c r="L143" s="1"/>
      <c r="M143" s="1"/>
      <c r="N143" s="1"/>
      <c r="O143" s="1"/>
      <c r="P143" s="1"/>
      <c r="Q143" s="1"/>
      <c r="R143" s="1"/>
      <c r="S143" s="1"/>
      <c r="T143" s="1"/>
      <c r="U143" s="1"/>
      <c r="V143" s="1"/>
      <c r="W143" s="1"/>
      <c r="X143" s="1"/>
      <c r="Y143" s="1"/>
      <c r="Z143" s="1"/>
    </row>
    <row r="144" spans="1:26" ht="17" customHeight="1" thickBot="1" x14ac:dyDescent="0.4">
      <c r="A144" s="4" t="s">
        <v>30</v>
      </c>
      <c r="B144" s="1" t="s">
        <v>43</v>
      </c>
      <c r="C144" s="1" t="s">
        <v>11</v>
      </c>
      <c r="D144" s="1" t="s">
        <v>21</v>
      </c>
      <c r="E144" s="2">
        <v>1161.67</v>
      </c>
      <c r="F144" s="2">
        <v>19</v>
      </c>
      <c r="G144" s="2">
        <v>0.2</v>
      </c>
      <c r="H144" s="3">
        <v>45647</v>
      </c>
      <c r="I144" s="5">
        <v>232.33</v>
      </c>
      <c r="J144" s="2">
        <f>Sales_Data1[[#This Row],[Sales]]*Sales_Data1[[#This Row],[Quantity]]*(1-Sales_Data1[[#This Row],[Discount]])</f>
        <v>17657.384000000002</v>
      </c>
      <c r="K144" s="1"/>
      <c r="L144" s="1"/>
      <c r="M144" s="1"/>
      <c r="N144" s="1"/>
      <c r="O144" s="1"/>
      <c r="P144" s="1"/>
      <c r="Q144" s="1"/>
      <c r="R144" s="1"/>
      <c r="S144" s="1"/>
      <c r="T144" s="1"/>
      <c r="U144" s="1"/>
      <c r="V144" s="1"/>
      <c r="W144" s="1"/>
      <c r="X144" s="1"/>
      <c r="Y144" s="1"/>
      <c r="Z144" s="1"/>
    </row>
    <row r="145" spans="1:26" ht="17" customHeight="1" thickBot="1" x14ac:dyDescent="0.4">
      <c r="A145" s="4" t="s">
        <v>49</v>
      </c>
      <c r="B145" s="1" t="s">
        <v>45</v>
      </c>
      <c r="C145" s="1" t="s">
        <v>34</v>
      </c>
      <c r="D145" s="1" t="s">
        <v>39</v>
      </c>
      <c r="E145" s="2">
        <v>388.23</v>
      </c>
      <c r="F145" s="2">
        <v>16</v>
      </c>
      <c r="G145" s="2">
        <v>0.05</v>
      </c>
      <c r="H145" s="3">
        <v>45650</v>
      </c>
      <c r="I145" s="5">
        <v>165.97</v>
      </c>
      <c r="J145" s="2">
        <f>Sales_Data1[[#This Row],[Sales]]*Sales_Data1[[#This Row],[Quantity]]*(1-Sales_Data1[[#This Row],[Discount]])</f>
        <v>5901.0959999999995</v>
      </c>
      <c r="K145" s="1"/>
      <c r="L145" s="1"/>
      <c r="M145" s="1"/>
      <c r="N145" s="1"/>
      <c r="O145" s="1"/>
      <c r="P145" s="1"/>
      <c r="Q145" s="1"/>
      <c r="R145" s="1"/>
      <c r="S145" s="1"/>
      <c r="T145" s="1"/>
      <c r="U145" s="1"/>
      <c r="V145" s="1"/>
      <c r="W145" s="1"/>
      <c r="X145" s="1"/>
      <c r="Y145" s="1"/>
      <c r="Z145" s="1"/>
    </row>
    <row r="146" spans="1:26" ht="17" customHeight="1" thickBot="1" x14ac:dyDescent="0.4">
      <c r="A146" s="4" t="s">
        <v>72</v>
      </c>
      <c r="B146" s="1" t="s">
        <v>31</v>
      </c>
      <c r="C146" s="1" t="s">
        <v>24</v>
      </c>
      <c r="D146" s="1" t="s">
        <v>15</v>
      </c>
      <c r="E146" s="2">
        <v>1589.42</v>
      </c>
      <c r="F146" s="2">
        <v>6</v>
      </c>
      <c r="G146" s="2">
        <v>0.15</v>
      </c>
      <c r="H146" s="3">
        <v>45651</v>
      </c>
      <c r="I146" s="5">
        <v>675.5</v>
      </c>
      <c r="J146" s="2">
        <f>Sales_Data1[[#This Row],[Sales]]*Sales_Data1[[#This Row],[Quantity]]*(1-Sales_Data1[[#This Row],[Discount]])</f>
        <v>8106.0420000000004</v>
      </c>
      <c r="K146" s="1"/>
      <c r="L146" s="1"/>
      <c r="M146" s="1"/>
      <c r="N146" s="1"/>
      <c r="O146" s="1"/>
      <c r="P146" s="1"/>
      <c r="Q146" s="1"/>
      <c r="R146" s="1"/>
      <c r="S146" s="1"/>
      <c r="T146" s="1"/>
      <c r="U146" s="1"/>
      <c r="V146" s="1"/>
      <c r="W146" s="1"/>
      <c r="X146" s="1"/>
      <c r="Y146" s="1"/>
      <c r="Z146" s="1"/>
    </row>
    <row r="147" spans="1:26" ht="17" customHeight="1" thickBot="1" x14ac:dyDescent="0.4">
      <c r="A147" s="4" t="s">
        <v>28</v>
      </c>
      <c r="B147" s="1" t="s">
        <v>71</v>
      </c>
      <c r="C147" s="1" t="s">
        <v>24</v>
      </c>
      <c r="D147" s="1" t="s">
        <v>15</v>
      </c>
      <c r="E147" s="2">
        <v>336.66</v>
      </c>
      <c r="F147" s="2">
        <v>13</v>
      </c>
      <c r="G147" s="2">
        <v>0.2</v>
      </c>
      <c r="H147" s="3">
        <v>45651</v>
      </c>
      <c r="I147" s="5">
        <v>134.66</v>
      </c>
      <c r="J147" s="2">
        <f>Sales_Data1[[#This Row],[Sales]]*Sales_Data1[[#This Row],[Quantity]]*(1-Sales_Data1[[#This Row],[Discount]])</f>
        <v>3501.2640000000001</v>
      </c>
      <c r="K147" s="1"/>
      <c r="L147" s="1"/>
      <c r="M147" s="1"/>
      <c r="N147" s="1"/>
      <c r="O147" s="1"/>
      <c r="P147" s="1"/>
      <c r="Q147" s="1"/>
      <c r="R147" s="1"/>
      <c r="S147" s="1"/>
      <c r="T147" s="1"/>
      <c r="U147" s="1"/>
      <c r="V147" s="1"/>
      <c r="W147" s="1"/>
      <c r="X147" s="1"/>
      <c r="Y147" s="1"/>
      <c r="Z147" s="1"/>
    </row>
    <row r="148" spans="1:26" ht="17" customHeight="1" thickBot="1" x14ac:dyDescent="0.4">
      <c r="A148" s="4" t="s">
        <v>49</v>
      </c>
      <c r="B148" s="1" t="s">
        <v>23</v>
      </c>
      <c r="C148" s="1" t="s">
        <v>11</v>
      </c>
      <c r="D148" s="1" t="s">
        <v>12</v>
      </c>
      <c r="E148" s="2">
        <v>1353.79</v>
      </c>
      <c r="F148" s="2">
        <v>14</v>
      </c>
      <c r="G148" s="2">
        <v>0.1</v>
      </c>
      <c r="H148" s="3">
        <v>45656</v>
      </c>
      <c r="I148" s="5">
        <v>487.36</v>
      </c>
      <c r="J148" s="2">
        <f>Sales_Data1[[#This Row],[Sales]]*Sales_Data1[[#This Row],[Quantity]]*(1-Sales_Data1[[#This Row],[Discount]])</f>
        <v>17057.753999999997</v>
      </c>
      <c r="K148" s="1"/>
      <c r="L148" s="1"/>
      <c r="M148" s="1"/>
      <c r="N148" s="1"/>
      <c r="O148" s="1"/>
      <c r="P148" s="1"/>
      <c r="Q148" s="1"/>
      <c r="R148" s="1"/>
      <c r="S148" s="1"/>
      <c r="T148" s="1"/>
      <c r="U148" s="1"/>
      <c r="V148" s="1"/>
      <c r="W148" s="1"/>
      <c r="X148" s="1"/>
      <c r="Y148" s="1"/>
      <c r="Z148" s="1"/>
    </row>
    <row r="149" spans="1:26" ht="17" customHeight="1" thickBot="1" x14ac:dyDescent="0.4">
      <c r="A149" s="4" t="s">
        <v>63</v>
      </c>
      <c r="B149" s="1" t="s">
        <v>69</v>
      </c>
      <c r="C149" s="1" t="s">
        <v>34</v>
      </c>
      <c r="D149" s="1" t="s">
        <v>15</v>
      </c>
      <c r="E149" s="2">
        <v>662.61</v>
      </c>
      <c r="F149" s="2">
        <v>11</v>
      </c>
      <c r="G149" s="2">
        <v>0.05</v>
      </c>
      <c r="H149" s="3">
        <v>45658</v>
      </c>
      <c r="I149" s="5">
        <v>314.74</v>
      </c>
      <c r="J149" s="2">
        <f>Sales_Data1[[#This Row],[Sales]]*Sales_Data1[[#This Row],[Quantity]]*(1-Sales_Data1[[#This Row],[Discount]])</f>
        <v>6924.2744999999995</v>
      </c>
      <c r="K149" s="1"/>
      <c r="L149" s="1"/>
      <c r="M149" s="1"/>
      <c r="N149" s="1"/>
      <c r="O149" s="1"/>
      <c r="P149" s="1"/>
      <c r="Q149" s="1"/>
      <c r="R149" s="1"/>
      <c r="S149" s="1"/>
      <c r="T149" s="1"/>
      <c r="U149" s="1"/>
      <c r="V149" s="1"/>
      <c r="W149" s="1"/>
      <c r="X149" s="1"/>
      <c r="Y149" s="1"/>
      <c r="Z149" s="1"/>
    </row>
    <row r="150" spans="1:26" ht="17" customHeight="1" thickBot="1" x14ac:dyDescent="0.4">
      <c r="A150" s="4" t="s">
        <v>52</v>
      </c>
      <c r="B150" s="1" t="s">
        <v>48</v>
      </c>
      <c r="C150" s="1" t="s">
        <v>24</v>
      </c>
      <c r="D150" s="1" t="s">
        <v>39</v>
      </c>
      <c r="E150" s="2">
        <v>309.42</v>
      </c>
      <c r="F150" s="2">
        <v>1</v>
      </c>
      <c r="G150" s="2">
        <v>0.2</v>
      </c>
      <c r="H150" s="3">
        <v>45658</v>
      </c>
      <c r="I150" s="5">
        <v>111.39</v>
      </c>
      <c r="J150" s="2">
        <f>Sales_Data1[[#This Row],[Sales]]*Sales_Data1[[#This Row],[Quantity]]*(1-Sales_Data1[[#This Row],[Discount]])</f>
        <v>247.53600000000003</v>
      </c>
      <c r="K150" s="1"/>
      <c r="L150" s="1"/>
      <c r="M150" s="1"/>
      <c r="N150" s="1"/>
      <c r="O150" s="1"/>
      <c r="P150" s="1"/>
      <c r="Q150" s="1"/>
      <c r="R150" s="1"/>
      <c r="S150" s="1"/>
      <c r="T150" s="1"/>
      <c r="U150" s="1"/>
      <c r="V150" s="1"/>
      <c r="W150" s="1"/>
      <c r="X150" s="1"/>
      <c r="Y150" s="1"/>
      <c r="Z150" s="1"/>
    </row>
    <row r="151" spans="1:26" ht="17" customHeight="1" thickBot="1" x14ac:dyDescent="0.4">
      <c r="A151" s="4" t="s">
        <v>63</v>
      </c>
      <c r="B151" s="1" t="s">
        <v>29</v>
      </c>
      <c r="C151" s="1" t="s">
        <v>24</v>
      </c>
      <c r="D151" s="1" t="s">
        <v>12</v>
      </c>
      <c r="E151" s="2">
        <v>884.63</v>
      </c>
      <c r="F151" s="2">
        <v>18</v>
      </c>
      <c r="G151" s="2">
        <v>0.1</v>
      </c>
      <c r="H151" s="3">
        <v>45659</v>
      </c>
      <c r="I151" s="5">
        <v>318.47000000000003</v>
      </c>
      <c r="J151" s="2">
        <f>Sales_Data1[[#This Row],[Sales]]*Sales_Data1[[#This Row],[Quantity]]*(1-Sales_Data1[[#This Row],[Discount]])</f>
        <v>14331.006000000001</v>
      </c>
      <c r="K151" s="1"/>
      <c r="L151" s="1"/>
      <c r="M151" s="1"/>
      <c r="N151" s="1"/>
      <c r="O151" s="1"/>
      <c r="P151" s="1"/>
      <c r="Q151" s="1"/>
      <c r="R151" s="1"/>
      <c r="S151" s="1"/>
      <c r="T151" s="1"/>
      <c r="U151" s="1"/>
      <c r="V151" s="1"/>
      <c r="W151" s="1"/>
      <c r="X151" s="1"/>
      <c r="Y151" s="1"/>
      <c r="Z151" s="1"/>
    </row>
    <row r="152" spans="1:26" ht="17" customHeight="1" thickBot="1" x14ac:dyDescent="0.4">
      <c r="A152" s="4" t="s">
        <v>52</v>
      </c>
      <c r="B152" s="1" t="s">
        <v>23</v>
      </c>
      <c r="C152" s="1" t="s">
        <v>34</v>
      </c>
      <c r="D152" s="1" t="s">
        <v>39</v>
      </c>
      <c r="E152" s="2">
        <v>745.05</v>
      </c>
      <c r="F152" s="2">
        <v>10</v>
      </c>
      <c r="G152" s="2">
        <v>0.1</v>
      </c>
      <c r="H152" s="3">
        <v>45660</v>
      </c>
      <c r="I152" s="5">
        <v>301.75</v>
      </c>
      <c r="J152" s="2">
        <f>Sales_Data1[[#This Row],[Sales]]*Sales_Data1[[#This Row],[Quantity]]*(1-Sales_Data1[[#This Row],[Discount]])</f>
        <v>6705.45</v>
      </c>
      <c r="K152" s="1"/>
      <c r="L152" s="1"/>
      <c r="M152" s="1"/>
      <c r="N152" s="1"/>
      <c r="O152" s="1"/>
      <c r="P152" s="1"/>
      <c r="Q152" s="1"/>
      <c r="R152" s="1"/>
      <c r="S152" s="1"/>
      <c r="T152" s="1"/>
      <c r="U152" s="1"/>
      <c r="V152" s="1"/>
      <c r="W152" s="1"/>
      <c r="X152" s="1"/>
      <c r="Y152" s="1"/>
      <c r="Z152" s="1"/>
    </row>
    <row r="153" spans="1:26" ht="17" customHeight="1" thickBot="1" x14ac:dyDescent="0.4">
      <c r="A153" s="4" t="s">
        <v>60</v>
      </c>
      <c r="B153" s="1" t="s">
        <v>17</v>
      </c>
      <c r="C153" s="1" t="s">
        <v>20</v>
      </c>
      <c r="D153" s="1" t="s">
        <v>15</v>
      </c>
      <c r="E153" s="2">
        <v>870.23</v>
      </c>
      <c r="F153" s="2">
        <v>5</v>
      </c>
      <c r="G153" s="2">
        <v>0.05</v>
      </c>
      <c r="H153" s="3">
        <v>45660</v>
      </c>
      <c r="I153" s="5">
        <v>413.36</v>
      </c>
      <c r="J153" s="2">
        <f>Sales_Data1[[#This Row],[Sales]]*Sales_Data1[[#This Row],[Quantity]]*(1-Sales_Data1[[#This Row],[Discount]])</f>
        <v>4133.5924999999997</v>
      </c>
      <c r="K153" s="1"/>
      <c r="L153" s="1"/>
      <c r="M153" s="1"/>
      <c r="N153" s="1"/>
      <c r="O153" s="1"/>
      <c r="P153" s="1"/>
      <c r="Q153" s="1"/>
      <c r="R153" s="1"/>
      <c r="S153" s="1"/>
      <c r="T153" s="1"/>
      <c r="U153" s="1"/>
      <c r="V153" s="1"/>
      <c r="W153" s="1"/>
      <c r="X153" s="1"/>
      <c r="Y153" s="1"/>
      <c r="Z153" s="1"/>
    </row>
    <row r="154" spans="1:26" ht="17" customHeight="1" thickBot="1" x14ac:dyDescent="0.4">
      <c r="A154" s="4" t="s">
        <v>35</v>
      </c>
      <c r="B154" s="1" t="s">
        <v>29</v>
      </c>
      <c r="C154" s="1" t="s">
        <v>11</v>
      </c>
      <c r="D154" s="1" t="s">
        <v>27</v>
      </c>
      <c r="E154" s="2">
        <v>862.19</v>
      </c>
      <c r="F154" s="2">
        <v>18</v>
      </c>
      <c r="G154" s="2">
        <v>0.05</v>
      </c>
      <c r="H154" s="3">
        <v>45663</v>
      </c>
      <c r="I154" s="5">
        <v>286.68</v>
      </c>
      <c r="J154" s="2">
        <f>Sales_Data1[[#This Row],[Sales]]*Sales_Data1[[#This Row],[Quantity]]*(1-Sales_Data1[[#This Row],[Discount]])</f>
        <v>14743.449000000001</v>
      </c>
      <c r="K154" s="1"/>
      <c r="L154" s="1"/>
      <c r="M154" s="1"/>
      <c r="N154" s="1"/>
      <c r="O154" s="1"/>
      <c r="P154" s="1"/>
      <c r="Q154" s="1"/>
      <c r="R154" s="1"/>
      <c r="S154" s="1"/>
      <c r="T154" s="1"/>
      <c r="U154" s="1"/>
      <c r="V154" s="1"/>
      <c r="W154" s="1"/>
      <c r="X154" s="1"/>
      <c r="Y154" s="1"/>
      <c r="Z154" s="1"/>
    </row>
    <row r="155" spans="1:26" ht="17" customHeight="1" thickBot="1" x14ac:dyDescent="0.4">
      <c r="A155" s="4" t="s">
        <v>73</v>
      </c>
      <c r="B155" s="1" t="s">
        <v>59</v>
      </c>
      <c r="C155" s="1" t="s">
        <v>24</v>
      </c>
      <c r="D155" s="1" t="s">
        <v>15</v>
      </c>
      <c r="E155" s="2">
        <v>1171.18</v>
      </c>
      <c r="F155" s="2">
        <v>19</v>
      </c>
      <c r="G155" s="2">
        <v>0.05</v>
      </c>
      <c r="H155" s="3">
        <v>45667</v>
      </c>
      <c r="I155" s="5">
        <v>556.30999999999995</v>
      </c>
      <c r="J155" s="2">
        <f>Sales_Data1[[#This Row],[Sales]]*Sales_Data1[[#This Row],[Quantity]]*(1-Sales_Data1[[#This Row],[Discount]])</f>
        <v>21139.798999999999</v>
      </c>
      <c r="K155" s="1"/>
      <c r="L155" s="1"/>
      <c r="M155" s="1"/>
      <c r="N155" s="1"/>
      <c r="O155" s="1"/>
      <c r="P155" s="1"/>
      <c r="Q155" s="1"/>
      <c r="R155" s="1"/>
      <c r="S155" s="1"/>
      <c r="T155" s="1"/>
      <c r="U155" s="1"/>
      <c r="V155" s="1"/>
      <c r="W155" s="1"/>
      <c r="X155" s="1"/>
      <c r="Y155" s="1"/>
      <c r="Z155" s="1"/>
    </row>
    <row r="156" spans="1:26" ht="17" customHeight="1" thickBot="1" x14ac:dyDescent="0.4">
      <c r="A156" s="4" t="s">
        <v>58</v>
      </c>
      <c r="B156" s="1" t="s">
        <v>14</v>
      </c>
      <c r="C156" s="1" t="s">
        <v>20</v>
      </c>
      <c r="D156" s="1" t="s">
        <v>27</v>
      </c>
      <c r="E156" s="2">
        <v>1054.56</v>
      </c>
      <c r="F156" s="2">
        <v>11</v>
      </c>
      <c r="G156" s="2">
        <v>0.1</v>
      </c>
      <c r="H156" s="3">
        <v>45669</v>
      </c>
      <c r="I156" s="5">
        <v>332.19</v>
      </c>
      <c r="J156" s="2">
        <f>Sales_Data1[[#This Row],[Sales]]*Sales_Data1[[#This Row],[Quantity]]*(1-Sales_Data1[[#This Row],[Discount]])</f>
        <v>10440.144</v>
      </c>
      <c r="K156" s="1"/>
      <c r="L156" s="1"/>
      <c r="M156" s="1"/>
      <c r="N156" s="1"/>
      <c r="O156" s="1"/>
      <c r="P156" s="1"/>
      <c r="Q156" s="1"/>
      <c r="R156" s="1"/>
      <c r="S156" s="1"/>
      <c r="T156" s="1"/>
      <c r="U156" s="1"/>
      <c r="V156" s="1"/>
      <c r="W156" s="1"/>
      <c r="X156" s="1"/>
      <c r="Y156" s="1"/>
      <c r="Z156" s="1"/>
    </row>
    <row r="157" spans="1:26" ht="17" customHeight="1" thickBot="1" x14ac:dyDescent="0.4">
      <c r="A157" s="4" t="s">
        <v>58</v>
      </c>
      <c r="B157" s="1" t="s">
        <v>23</v>
      </c>
      <c r="C157" s="1" t="s">
        <v>24</v>
      </c>
      <c r="D157" s="1" t="s">
        <v>21</v>
      </c>
      <c r="E157" s="2">
        <v>1681.21</v>
      </c>
      <c r="F157" s="2">
        <v>5</v>
      </c>
      <c r="G157" s="2">
        <v>0.2</v>
      </c>
      <c r="H157" s="3">
        <v>45670</v>
      </c>
      <c r="I157" s="5">
        <v>336.24</v>
      </c>
      <c r="J157" s="2">
        <f>Sales_Data1[[#This Row],[Sales]]*Sales_Data1[[#This Row],[Quantity]]*(1-Sales_Data1[[#This Row],[Discount]])</f>
        <v>6724.84</v>
      </c>
      <c r="K157" s="1"/>
      <c r="L157" s="1"/>
      <c r="M157" s="1"/>
      <c r="N157" s="1"/>
      <c r="O157" s="1"/>
      <c r="P157" s="1"/>
      <c r="Q157" s="1"/>
      <c r="R157" s="1"/>
      <c r="S157" s="1"/>
      <c r="T157" s="1"/>
      <c r="U157" s="1"/>
      <c r="V157" s="1"/>
      <c r="W157" s="1"/>
      <c r="X157" s="1"/>
      <c r="Y157" s="1"/>
      <c r="Z157" s="1"/>
    </row>
    <row r="158" spans="1:26" ht="17" customHeight="1" thickBot="1" x14ac:dyDescent="0.4">
      <c r="A158" s="4" t="s">
        <v>58</v>
      </c>
      <c r="B158" s="1" t="s">
        <v>36</v>
      </c>
      <c r="C158" s="1" t="s">
        <v>11</v>
      </c>
      <c r="D158" s="1" t="s">
        <v>15</v>
      </c>
      <c r="E158" s="2">
        <v>379.77</v>
      </c>
      <c r="F158" s="2">
        <v>9</v>
      </c>
      <c r="G158" s="2">
        <v>0.05</v>
      </c>
      <c r="H158" s="3">
        <v>45673</v>
      </c>
      <c r="I158" s="5">
        <v>180.39</v>
      </c>
      <c r="J158" s="2">
        <f>Sales_Data1[[#This Row],[Sales]]*Sales_Data1[[#This Row],[Quantity]]*(1-Sales_Data1[[#This Row],[Discount]])</f>
        <v>3247.0334999999995</v>
      </c>
      <c r="K158" s="1"/>
      <c r="L158" s="1"/>
      <c r="M158" s="1"/>
      <c r="N158" s="1"/>
      <c r="O158" s="1"/>
      <c r="P158" s="1"/>
      <c r="Q158" s="1"/>
      <c r="R158" s="1"/>
      <c r="S158" s="1"/>
      <c r="T158" s="1"/>
      <c r="U158" s="1"/>
      <c r="V158" s="1"/>
      <c r="W158" s="1"/>
      <c r="X158" s="1"/>
      <c r="Y158" s="1"/>
      <c r="Z158" s="1"/>
    </row>
    <row r="159" spans="1:26" ht="17" customHeight="1" thickBot="1" x14ac:dyDescent="0.4">
      <c r="A159" s="4" t="s">
        <v>44</v>
      </c>
      <c r="B159" s="1" t="s">
        <v>45</v>
      </c>
      <c r="C159" s="1" t="s">
        <v>34</v>
      </c>
      <c r="D159" s="1" t="s">
        <v>15</v>
      </c>
      <c r="E159" s="2">
        <v>1076.33</v>
      </c>
      <c r="F159" s="2">
        <v>2</v>
      </c>
      <c r="G159" s="2">
        <v>0.1</v>
      </c>
      <c r="H159" s="3">
        <v>45674</v>
      </c>
      <c r="I159" s="5">
        <v>484.35</v>
      </c>
      <c r="J159" s="2">
        <f>Sales_Data1[[#This Row],[Sales]]*Sales_Data1[[#This Row],[Quantity]]*(1-Sales_Data1[[#This Row],[Discount]])</f>
        <v>1937.394</v>
      </c>
      <c r="K159" s="1"/>
      <c r="L159" s="1"/>
      <c r="M159" s="1"/>
      <c r="N159" s="1"/>
      <c r="O159" s="1"/>
      <c r="P159" s="1"/>
      <c r="Q159" s="1"/>
      <c r="R159" s="1"/>
      <c r="S159" s="1"/>
      <c r="T159" s="1"/>
      <c r="U159" s="1"/>
      <c r="V159" s="1"/>
      <c r="W159" s="1"/>
      <c r="X159" s="1"/>
      <c r="Y159" s="1"/>
      <c r="Z159" s="1"/>
    </row>
    <row r="160" spans="1:26" ht="17" customHeight="1" thickBot="1" x14ac:dyDescent="0.4">
      <c r="A160" s="4" t="s">
        <v>44</v>
      </c>
      <c r="B160" s="1" t="s">
        <v>31</v>
      </c>
      <c r="C160" s="1" t="s">
        <v>34</v>
      </c>
      <c r="D160" s="1" t="s">
        <v>39</v>
      </c>
      <c r="E160" s="2">
        <v>1250.71</v>
      </c>
      <c r="F160" s="2">
        <v>7</v>
      </c>
      <c r="G160" s="2">
        <v>0</v>
      </c>
      <c r="H160" s="3">
        <v>45674</v>
      </c>
      <c r="I160" s="5">
        <v>562.82000000000005</v>
      </c>
      <c r="J160" s="2">
        <f>Sales_Data1[[#This Row],[Sales]]*Sales_Data1[[#This Row],[Quantity]]*(1-Sales_Data1[[#This Row],[Discount]])</f>
        <v>8754.9700000000012</v>
      </c>
      <c r="K160" s="1"/>
      <c r="L160" s="1"/>
      <c r="M160" s="1"/>
      <c r="N160" s="1"/>
      <c r="O160" s="1"/>
      <c r="P160" s="1"/>
      <c r="Q160" s="1"/>
      <c r="R160" s="1"/>
      <c r="S160" s="1"/>
      <c r="T160" s="1"/>
      <c r="U160" s="1"/>
      <c r="V160" s="1"/>
      <c r="W160" s="1"/>
      <c r="X160" s="1"/>
      <c r="Y160" s="1"/>
      <c r="Z160" s="1"/>
    </row>
    <row r="161" spans="1:26" ht="17" customHeight="1" thickBot="1" x14ac:dyDescent="0.4">
      <c r="A161" s="4" t="s">
        <v>40</v>
      </c>
      <c r="B161" s="1" t="s">
        <v>17</v>
      </c>
      <c r="C161" s="1" t="s">
        <v>20</v>
      </c>
      <c r="D161" s="1" t="s">
        <v>15</v>
      </c>
      <c r="E161" s="2">
        <v>1118.3399999999999</v>
      </c>
      <c r="F161" s="2">
        <v>6</v>
      </c>
      <c r="G161" s="2">
        <v>0.2</v>
      </c>
      <c r="H161" s="3">
        <v>45674</v>
      </c>
      <c r="I161" s="5">
        <v>447.34</v>
      </c>
      <c r="J161" s="2">
        <f>Sales_Data1[[#This Row],[Sales]]*Sales_Data1[[#This Row],[Quantity]]*(1-Sales_Data1[[#This Row],[Discount]])</f>
        <v>5368.0319999999992</v>
      </c>
      <c r="K161" s="1"/>
      <c r="L161" s="1"/>
      <c r="M161" s="1"/>
      <c r="N161" s="1"/>
      <c r="O161" s="1"/>
      <c r="P161" s="1"/>
      <c r="Q161" s="1"/>
      <c r="R161" s="1"/>
      <c r="S161" s="1"/>
      <c r="T161" s="1"/>
      <c r="U161" s="1"/>
      <c r="V161" s="1"/>
      <c r="W161" s="1"/>
      <c r="X161" s="1"/>
      <c r="Y161" s="1"/>
      <c r="Z161" s="1"/>
    </row>
    <row r="162" spans="1:26" ht="17" customHeight="1" thickBot="1" x14ac:dyDescent="0.4">
      <c r="A162" s="4" t="s">
        <v>70</v>
      </c>
      <c r="B162" s="1" t="s">
        <v>53</v>
      </c>
      <c r="C162" s="1" t="s">
        <v>24</v>
      </c>
      <c r="D162" s="1" t="s">
        <v>15</v>
      </c>
      <c r="E162" s="2">
        <v>1622.62</v>
      </c>
      <c r="F162" s="2">
        <v>12</v>
      </c>
      <c r="G162" s="2">
        <v>0.2</v>
      </c>
      <c r="H162" s="3">
        <v>45677</v>
      </c>
      <c r="I162" s="5">
        <v>649.04999999999995</v>
      </c>
      <c r="J162" s="2">
        <f>Sales_Data1[[#This Row],[Sales]]*Sales_Data1[[#This Row],[Quantity]]*(1-Sales_Data1[[#This Row],[Discount]])</f>
        <v>15577.152</v>
      </c>
      <c r="K162" s="1"/>
      <c r="L162" s="1"/>
      <c r="M162" s="1"/>
      <c r="N162" s="1"/>
      <c r="O162" s="1"/>
      <c r="P162" s="1"/>
      <c r="Q162" s="1"/>
      <c r="R162" s="1"/>
      <c r="S162" s="1"/>
      <c r="T162" s="1"/>
      <c r="U162" s="1"/>
      <c r="V162" s="1"/>
      <c r="W162" s="1"/>
      <c r="X162" s="1"/>
      <c r="Y162" s="1"/>
      <c r="Z162" s="1"/>
    </row>
    <row r="163" spans="1:26" ht="17" customHeight="1" thickBot="1" x14ac:dyDescent="0.4">
      <c r="A163" s="4" t="s">
        <v>75</v>
      </c>
      <c r="B163" s="1" t="s">
        <v>48</v>
      </c>
      <c r="C163" s="1" t="s">
        <v>24</v>
      </c>
      <c r="D163" s="1" t="s">
        <v>12</v>
      </c>
      <c r="E163" s="2">
        <v>640.64</v>
      </c>
      <c r="F163" s="2">
        <v>11</v>
      </c>
      <c r="G163" s="2">
        <v>0.2</v>
      </c>
      <c r="H163" s="3">
        <v>45678</v>
      </c>
      <c r="I163" s="5">
        <v>205</v>
      </c>
      <c r="J163" s="2">
        <f>Sales_Data1[[#This Row],[Sales]]*Sales_Data1[[#This Row],[Quantity]]*(1-Sales_Data1[[#This Row],[Discount]])</f>
        <v>5637.6320000000005</v>
      </c>
      <c r="K163" s="1"/>
      <c r="L163" s="1"/>
      <c r="M163" s="1"/>
      <c r="N163" s="1"/>
      <c r="O163" s="1"/>
      <c r="P163" s="1"/>
      <c r="Q163" s="1"/>
      <c r="R163" s="1"/>
      <c r="S163" s="1"/>
      <c r="T163" s="1"/>
      <c r="U163" s="1"/>
      <c r="V163" s="1"/>
      <c r="W163" s="1"/>
      <c r="X163" s="1"/>
      <c r="Y163" s="1"/>
      <c r="Z163" s="1"/>
    </row>
    <row r="164" spans="1:26" ht="17" customHeight="1" thickBot="1" x14ac:dyDescent="0.4">
      <c r="A164" s="4" t="s">
        <v>22</v>
      </c>
      <c r="B164" s="1" t="s">
        <v>43</v>
      </c>
      <c r="C164" s="1" t="s">
        <v>11</v>
      </c>
      <c r="D164" s="1" t="s">
        <v>15</v>
      </c>
      <c r="E164" s="2">
        <v>585.16</v>
      </c>
      <c r="F164" s="2">
        <v>17</v>
      </c>
      <c r="G164" s="2">
        <v>0.1</v>
      </c>
      <c r="H164" s="3">
        <v>45684</v>
      </c>
      <c r="I164" s="5">
        <v>263.32</v>
      </c>
      <c r="J164" s="2">
        <f>Sales_Data1[[#This Row],[Sales]]*Sales_Data1[[#This Row],[Quantity]]*(1-Sales_Data1[[#This Row],[Discount]])</f>
        <v>8952.9480000000003</v>
      </c>
      <c r="K164" s="1"/>
      <c r="L164" s="1"/>
      <c r="M164" s="1"/>
      <c r="N164" s="1"/>
      <c r="O164" s="1"/>
      <c r="P164" s="1"/>
      <c r="Q164" s="1"/>
      <c r="R164" s="1"/>
      <c r="S164" s="1"/>
      <c r="T164" s="1"/>
      <c r="U164" s="1"/>
      <c r="V164" s="1"/>
      <c r="W164" s="1"/>
      <c r="X164" s="1"/>
      <c r="Y164" s="1"/>
      <c r="Z164" s="1"/>
    </row>
    <row r="165" spans="1:26" ht="17" customHeight="1" thickBot="1" x14ac:dyDescent="0.4">
      <c r="A165" s="4" t="s">
        <v>22</v>
      </c>
      <c r="B165" s="1" t="s">
        <v>31</v>
      </c>
      <c r="C165" s="1" t="s">
        <v>18</v>
      </c>
      <c r="D165" s="1" t="s">
        <v>15</v>
      </c>
      <c r="E165" s="2">
        <v>1109.98</v>
      </c>
      <c r="F165" s="2">
        <v>5</v>
      </c>
      <c r="G165" s="2">
        <v>0.2</v>
      </c>
      <c r="H165" s="3">
        <v>45690</v>
      </c>
      <c r="I165" s="5">
        <v>443.99</v>
      </c>
      <c r="J165" s="2">
        <f>Sales_Data1[[#This Row],[Sales]]*Sales_Data1[[#This Row],[Quantity]]*(1-Sales_Data1[[#This Row],[Discount]])</f>
        <v>4439.92</v>
      </c>
      <c r="K165" s="1"/>
      <c r="L165" s="1"/>
      <c r="M165" s="1"/>
      <c r="N165" s="1"/>
      <c r="O165" s="1"/>
      <c r="P165" s="1"/>
      <c r="Q165" s="1"/>
      <c r="R165" s="1"/>
      <c r="S165" s="1"/>
      <c r="T165" s="1"/>
      <c r="U165" s="1"/>
      <c r="V165" s="1"/>
      <c r="W165" s="1"/>
      <c r="X165" s="1"/>
      <c r="Y165" s="1"/>
      <c r="Z165" s="1"/>
    </row>
    <row r="166" spans="1:26" ht="17" customHeight="1" thickBot="1" x14ac:dyDescent="0.4">
      <c r="A166" s="4" t="s">
        <v>58</v>
      </c>
      <c r="B166" s="1" t="s">
        <v>45</v>
      </c>
      <c r="C166" s="1" t="s">
        <v>18</v>
      </c>
      <c r="D166" s="1" t="s">
        <v>12</v>
      </c>
      <c r="E166" s="2">
        <v>1098.08</v>
      </c>
      <c r="F166" s="2">
        <v>9</v>
      </c>
      <c r="G166" s="2">
        <v>0.1</v>
      </c>
      <c r="H166" s="3">
        <v>45692</v>
      </c>
      <c r="I166" s="5">
        <v>395.31</v>
      </c>
      <c r="J166" s="2">
        <f>Sales_Data1[[#This Row],[Sales]]*Sales_Data1[[#This Row],[Quantity]]*(1-Sales_Data1[[#This Row],[Discount]])</f>
        <v>8894.4480000000003</v>
      </c>
      <c r="K166" s="1"/>
      <c r="L166" s="1"/>
      <c r="M166" s="1"/>
      <c r="N166" s="1"/>
      <c r="O166" s="1"/>
      <c r="P166" s="1"/>
      <c r="Q166" s="1"/>
      <c r="R166" s="1"/>
      <c r="S166" s="1"/>
      <c r="T166" s="1"/>
      <c r="U166" s="1"/>
      <c r="V166" s="1"/>
      <c r="W166" s="1"/>
      <c r="X166" s="1"/>
      <c r="Y166" s="1"/>
      <c r="Z166" s="1"/>
    </row>
    <row r="167" spans="1:26" ht="17" customHeight="1" thickBot="1" x14ac:dyDescent="0.4">
      <c r="A167" s="4" t="s">
        <v>65</v>
      </c>
      <c r="B167" s="1" t="s">
        <v>48</v>
      </c>
      <c r="C167" s="1" t="s">
        <v>11</v>
      </c>
      <c r="D167" s="1" t="s">
        <v>39</v>
      </c>
      <c r="E167" s="2">
        <v>827.25</v>
      </c>
      <c r="F167" s="2">
        <v>7</v>
      </c>
      <c r="G167" s="2">
        <v>0.1</v>
      </c>
      <c r="H167" s="3">
        <v>45693</v>
      </c>
      <c r="I167" s="5">
        <v>335.04</v>
      </c>
      <c r="J167" s="2">
        <f>Sales_Data1[[#This Row],[Sales]]*Sales_Data1[[#This Row],[Quantity]]*(1-Sales_Data1[[#This Row],[Discount]])</f>
        <v>5211.6750000000002</v>
      </c>
      <c r="K167" s="1"/>
      <c r="L167" s="1"/>
      <c r="M167" s="1"/>
      <c r="N167" s="1"/>
      <c r="O167" s="1"/>
      <c r="P167" s="1"/>
      <c r="Q167" s="1"/>
      <c r="R167" s="1"/>
      <c r="S167" s="1"/>
      <c r="T167" s="1"/>
      <c r="U167" s="1"/>
      <c r="V167" s="1"/>
      <c r="W167" s="1"/>
      <c r="X167" s="1"/>
      <c r="Y167" s="1"/>
      <c r="Z167" s="1"/>
    </row>
    <row r="168" spans="1:26" ht="17" customHeight="1" thickBot="1" x14ac:dyDescent="0.4">
      <c r="A168" s="4" t="s">
        <v>70</v>
      </c>
      <c r="B168" s="1" t="s">
        <v>29</v>
      </c>
      <c r="C168" s="1" t="s">
        <v>34</v>
      </c>
      <c r="D168" s="1" t="s">
        <v>15</v>
      </c>
      <c r="E168" s="2">
        <v>741.88</v>
      </c>
      <c r="F168" s="2">
        <v>16</v>
      </c>
      <c r="G168" s="2">
        <v>0.1</v>
      </c>
      <c r="H168" s="3">
        <v>45695</v>
      </c>
      <c r="I168" s="5">
        <v>333.85</v>
      </c>
      <c r="J168" s="2">
        <f>Sales_Data1[[#This Row],[Sales]]*Sales_Data1[[#This Row],[Quantity]]*(1-Sales_Data1[[#This Row],[Discount]])</f>
        <v>10683.072</v>
      </c>
      <c r="K168" s="1"/>
      <c r="L168" s="1"/>
      <c r="M168" s="1"/>
      <c r="N168" s="1"/>
      <c r="O168" s="1"/>
      <c r="P168" s="1"/>
      <c r="Q168" s="1"/>
      <c r="R168" s="1"/>
      <c r="S168" s="1"/>
      <c r="T168" s="1"/>
      <c r="U168" s="1"/>
      <c r="V168" s="1"/>
      <c r="W168" s="1"/>
      <c r="X168" s="1"/>
      <c r="Y168" s="1"/>
      <c r="Z168" s="1"/>
    </row>
    <row r="169" spans="1:26" ht="17" customHeight="1" thickBot="1" x14ac:dyDescent="0.4">
      <c r="A169" s="4" t="s">
        <v>72</v>
      </c>
      <c r="B169" s="1" t="s">
        <v>10</v>
      </c>
      <c r="C169" s="1" t="s">
        <v>18</v>
      </c>
      <c r="D169" s="1" t="s">
        <v>39</v>
      </c>
      <c r="E169" s="2">
        <v>1311.26</v>
      </c>
      <c r="F169" s="2">
        <v>6</v>
      </c>
      <c r="G169" s="2">
        <v>0.1</v>
      </c>
      <c r="H169" s="3">
        <v>45698</v>
      </c>
      <c r="I169" s="5">
        <v>531.05999999999995</v>
      </c>
      <c r="J169" s="2">
        <f>Sales_Data1[[#This Row],[Sales]]*Sales_Data1[[#This Row],[Quantity]]*(1-Sales_Data1[[#This Row],[Discount]])</f>
        <v>7080.8040000000001</v>
      </c>
      <c r="K169" s="1"/>
      <c r="L169" s="1"/>
      <c r="M169" s="1"/>
      <c r="N169" s="1"/>
      <c r="O169" s="1"/>
      <c r="P169" s="1"/>
      <c r="Q169" s="1"/>
      <c r="R169" s="1"/>
      <c r="S169" s="1"/>
      <c r="T169" s="1"/>
      <c r="U169" s="1"/>
      <c r="V169" s="1"/>
      <c r="W169" s="1"/>
      <c r="X169" s="1"/>
      <c r="Y169" s="1"/>
      <c r="Z169" s="1"/>
    </row>
    <row r="170" spans="1:26" ht="17" customHeight="1" thickBot="1" x14ac:dyDescent="0.4">
      <c r="A170" s="4" t="s">
        <v>72</v>
      </c>
      <c r="B170" s="1" t="s">
        <v>31</v>
      </c>
      <c r="C170" s="1" t="s">
        <v>20</v>
      </c>
      <c r="D170" s="1" t="s">
        <v>39</v>
      </c>
      <c r="E170" s="2">
        <v>573.32000000000005</v>
      </c>
      <c r="F170" s="2">
        <v>19</v>
      </c>
      <c r="G170" s="2">
        <v>0.1</v>
      </c>
      <c r="H170" s="3">
        <v>45703</v>
      </c>
      <c r="I170" s="5">
        <v>232.19</v>
      </c>
      <c r="J170" s="2">
        <f>Sales_Data1[[#This Row],[Sales]]*Sales_Data1[[#This Row],[Quantity]]*(1-Sales_Data1[[#This Row],[Discount]])</f>
        <v>9803.7720000000027</v>
      </c>
      <c r="K170" s="1"/>
      <c r="L170" s="1"/>
      <c r="M170" s="1"/>
      <c r="N170" s="1"/>
      <c r="O170" s="1"/>
      <c r="P170" s="1"/>
      <c r="Q170" s="1"/>
      <c r="R170" s="1"/>
      <c r="S170" s="1"/>
      <c r="T170" s="1"/>
      <c r="U170" s="1"/>
      <c r="V170" s="1"/>
      <c r="W170" s="1"/>
      <c r="X170" s="1"/>
      <c r="Y170" s="1"/>
      <c r="Z170" s="1"/>
    </row>
    <row r="171" spans="1:26" ht="17" customHeight="1" thickBot="1" x14ac:dyDescent="0.4">
      <c r="A171" s="4" t="s">
        <v>52</v>
      </c>
      <c r="B171" s="1" t="s">
        <v>23</v>
      </c>
      <c r="C171" s="1" t="s">
        <v>11</v>
      </c>
      <c r="D171" s="1" t="s">
        <v>21</v>
      </c>
      <c r="E171" s="2">
        <v>1115.22</v>
      </c>
      <c r="F171" s="2">
        <v>14</v>
      </c>
      <c r="G171" s="2">
        <v>0.2</v>
      </c>
      <c r="H171" s="3">
        <v>45705</v>
      </c>
      <c r="I171" s="5">
        <v>223.04</v>
      </c>
      <c r="J171" s="2">
        <f>Sales_Data1[[#This Row],[Sales]]*Sales_Data1[[#This Row],[Quantity]]*(1-Sales_Data1[[#This Row],[Discount]])</f>
        <v>12490.464</v>
      </c>
      <c r="K171" s="1"/>
      <c r="L171" s="1"/>
      <c r="M171" s="1"/>
      <c r="N171" s="1"/>
      <c r="O171" s="1"/>
      <c r="P171" s="1"/>
      <c r="Q171" s="1"/>
      <c r="R171" s="1"/>
      <c r="S171" s="1"/>
      <c r="T171" s="1"/>
      <c r="U171" s="1"/>
      <c r="V171" s="1"/>
      <c r="W171" s="1"/>
      <c r="X171" s="1"/>
      <c r="Y171" s="1"/>
      <c r="Z171" s="1"/>
    </row>
    <row r="172" spans="1:26" ht="17" customHeight="1" thickBot="1" x14ac:dyDescent="0.4">
      <c r="A172" s="4" t="s">
        <v>13</v>
      </c>
      <c r="B172" s="1" t="s">
        <v>45</v>
      </c>
      <c r="C172" s="1" t="s">
        <v>24</v>
      </c>
      <c r="D172" s="1" t="s">
        <v>15</v>
      </c>
      <c r="E172" s="2">
        <v>845.84</v>
      </c>
      <c r="F172" s="2">
        <v>4</v>
      </c>
      <c r="G172" s="2">
        <v>0</v>
      </c>
      <c r="H172" s="3">
        <v>45707</v>
      </c>
      <c r="I172" s="5">
        <v>422.92</v>
      </c>
      <c r="J172" s="2">
        <f>Sales_Data1[[#This Row],[Sales]]*Sales_Data1[[#This Row],[Quantity]]*(1-Sales_Data1[[#This Row],[Discount]])</f>
        <v>3383.36</v>
      </c>
      <c r="K172" s="1"/>
      <c r="L172" s="1"/>
      <c r="M172" s="1"/>
      <c r="N172" s="1"/>
      <c r="O172" s="1"/>
      <c r="P172" s="1"/>
      <c r="Q172" s="1"/>
      <c r="R172" s="1"/>
      <c r="S172" s="1"/>
      <c r="T172" s="1"/>
      <c r="U172" s="1"/>
      <c r="V172" s="1"/>
      <c r="W172" s="1"/>
      <c r="X172" s="1"/>
      <c r="Y172" s="1"/>
      <c r="Z172" s="1"/>
    </row>
    <row r="173" spans="1:26" ht="17" customHeight="1" thickBot="1" x14ac:dyDescent="0.4">
      <c r="A173" s="4" t="s">
        <v>30</v>
      </c>
      <c r="B173" s="1" t="s">
        <v>55</v>
      </c>
      <c r="C173" s="1" t="s">
        <v>11</v>
      </c>
      <c r="D173" s="1" t="s">
        <v>21</v>
      </c>
      <c r="E173" s="2">
        <v>1029.8</v>
      </c>
      <c r="F173" s="2">
        <v>3</v>
      </c>
      <c r="G173" s="2">
        <v>0</v>
      </c>
      <c r="H173" s="3">
        <v>45708</v>
      </c>
      <c r="I173" s="5">
        <v>257.45</v>
      </c>
      <c r="J173" s="2">
        <f>Sales_Data1[[#This Row],[Sales]]*Sales_Data1[[#This Row],[Quantity]]*(1-Sales_Data1[[#This Row],[Discount]])</f>
        <v>3089.3999999999996</v>
      </c>
      <c r="K173" s="1"/>
      <c r="L173" s="1"/>
      <c r="M173" s="1"/>
      <c r="N173" s="1"/>
      <c r="O173" s="1"/>
      <c r="P173" s="1"/>
      <c r="Q173" s="1"/>
      <c r="R173" s="1"/>
      <c r="S173" s="1"/>
      <c r="T173" s="1"/>
      <c r="U173" s="1"/>
      <c r="V173" s="1"/>
      <c r="W173" s="1"/>
      <c r="X173" s="1"/>
      <c r="Y173" s="1"/>
      <c r="Z173" s="1"/>
    </row>
    <row r="174" spans="1:26" ht="17" customHeight="1" thickBot="1" x14ac:dyDescent="0.4">
      <c r="A174" s="4" t="s">
        <v>32</v>
      </c>
      <c r="B174" s="1" t="s">
        <v>31</v>
      </c>
      <c r="C174" s="1" t="s">
        <v>24</v>
      </c>
      <c r="D174" s="1" t="s">
        <v>12</v>
      </c>
      <c r="E174" s="2">
        <v>1189.83</v>
      </c>
      <c r="F174" s="2">
        <v>2</v>
      </c>
      <c r="G174" s="2">
        <v>0.2</v>
      </c>
      <c r="H174" s="3">
        <v>45709</v>
      </c>
      <c r="I174" s="5">
        <v>380.75</v>
      </c>
      <c r="J174" s="2">
        <f>Sales_Data1[[#This Row],[Sales]]*Sales_Data1[[#This Row],[Quantity]]*(1-Sales_Data1[[#This Row],[Discount]])</f>
        <v>1903.7280000000001</v>
      </c>
      <c r="K174" s="1"/>
      <c r="L174" s="1"/>
      <c r="M174" s="1"/>
      <c r="N174" s="1"/>
      <c r="O174" s="1"/>
      <c r="P174" s="1"/>
      <c r="Q174" s="1"/>
      <c r="R174" s="1"/>
      <c r="S174" s="1"/>
      <c r="T174" s="1"/>
      <c r="U174" s="1"/>
      <c r="V174" s="1"/>
      <c r="W174" s="1"/>
      <c r="X174" s="1"/>
      <c r="Y174" s="1"/>
      <c r="Z174" s="1"/>
    </row>
    <row r="175" spans="1:26" ht="17" customHeight="1" thickBot="1" x14ac:dyDescent="0.4">
      <c r="A175" s="4" t="s">
        <v>67</v>
      </c>
      <c r="B175" s="1" t="s">
        <v>43</v>
      </c>
      <c r="C175" s="1" t="s">
        <v>20</v>
      </c>
      <c r="D175" s="1" t="s">
        <v>12</v>
      </c>
      <c r="E175" s="2">
        <v>704.28</v>
      </c>
      <c r="F175" s="2">
        <v>15</v>
      </c>
      <c r="G175" s="2">
        <v>0.2</v>
      </c>
      <c r="H175" s="3">
        <v>45712</v>
      </c>
      <c r="I175" s="5">
        <v>225.37</v>
      </c>
      <c r="J175" s="2">
        <f>Sales_Data1[[#This Row],[Sales]]*Sales_Data1[[#This Row],[Quantity]]*(1-Sales_Data1[[#This Row],[Discount]])</f>
        <v>8451.3599999999988</v>
      </c>
      <c r="K175" s="1"/>
      <c r="L175" s="1"/>
      <c r="M175" s="1"/>
      <c r="N175" s="1"/>
      <c r="O175" s="1"/>
      <c r="P175" s="1"/>
      <c r="Q175" s="1"/>
      <c r="R175" s="1"/>
      <c r="S175" s="1"/>
      <c r="T175" s="1"/>
      <c r="U175" s="1"/>
      <c r="V175" s="1"/>
      <c r="W175" s="1"/>
      <c r="X175" s="1"/>
      <c r="Y175" s="1"/>
      <c r="Z175" s="1"/>
    </row>
    <row r="176" spans="1:26" ht="17" customHeight="1" thickBot="1" x14ac:dyDescent="0.4">
      <c r="A176" s="4" t="s">
        <v>65</v>
      </c>
      <c r="B176" s="1" t="s">
        <v>47</v>
      </c>
      <c r="C176" s="1" t="s">
        <v>34</v>
      </c>
      <c r="D176" s="1" t="s">
        <v>39</v>
      </c>
      <c r="E176" s="2">
        <v>1618.22</v>
      </c>
      <c r="F176" s="2">
        <v>12</v>
      </c>
      <c r="G176" s="2">
        <v>0.2</v>
      </c>
      <c r="H176" s="3">
        <v>45712</v>
      </c>
      <c r="I176" s="5">
        <v>582.55999999999995</v>
      </c>
      <c r="J176" s="2">
        <f>Sales_Data1[[#This Row],[Sales]]*Sales_Data1[[#This Row],[Quantity]]*(1-Sales_Data1[[#This Row],[Discount]])</f>
        <v>15534.912</v>
      </c>
      <c r="K176" s="1"/>
      <c r="L176" s="1"/>
      <c r="M176" s="1"/>
      <c r="N176" s="1"/>
      <c r="O176" s="1"/>
      <c r="P176" s="1"/>
      <c r="Q176" s="1"/>
      <c r="R176" s="1"/>
      <c r="S176" s="1"/>
      <c r="T176" s="1"/>
      <c r="U176" s="1"/>
      <c r="V176" s="1"/>
      <c r="W176" s="1"/>
      <c r="X176" s="1"/>
      <c r="Y176" s="1"/>
      <c r="Z176" s="1"/>
    </row>
    <row r="177" spans="1:26" ht="17" customHeight="1" thickBot="1" x14ac:dyDescent="0.4">
      <c r="A177" s="4" t="s">
        <v>73</v>
      </c>
      <c r="B177" s="1" t="s">
        <v>53</v>
      </c>
      <c r="C177" s="1" t="s">
        <v>34</v>
      </c>
      <c r="D177" s="1" t="s">
        <v>12</v>
      </c>
      <c r="E177" s="2">
        <v>1014.43</v>
      </c>
      <c r="F177" s="2">
        <v>2</v>
      </c>
      <c r="G177" s="2">
        <v>0.15</v>
      </c>
      <c r="H177" s="3">
        <v>45713</v>
      </c>
      <c r="I177" s="5">
        <v>344.91</v>
      </c>
      <c r="J177" s="2">
        <f>Sales_Data1[[#This Row],[Sales]]*Sales_Data1[[#This Row],[Quantity]]*(1-Sales_Data1[[#This Row],[Discount]])</f>
        <v>1724.5309999999999</v>
      </c>
      <c r="K177" s="1"/>
      <c r="L177" s="1"/>
      <c r="M177" s="1"/>
      <c r="N177" s="1"/>
      <c r="O177" s="1"/>
      <c r="P177" s="1"/>
      <c r="Q177" s="1"/>
      <c r="R177" s="1"/>
      <c r="S177" s="1"/>
      <c r="T177" s="1"/>
      <c r="U177" s="1"/>
      <c r="V177" s="1"/>
      <c r="W177" s="1"/>
      <c r="X177" s="1"/>
      <c r="Y177" s="1"/>
      <c r="Z177" s="1"/>
    </row>
    <row r="178" spans="1:26" ht="17" customHeight="1" thickBot="1" x14ac:dyDescent="0.4">
      <c r="A178" s="4" t="s">
        <v>75</v>
      </c>
      <c r="B178" s="1" t="s">
        <v>31</v>
      </c>
      <c r="C178" s="1" t="s">
        <v>34</v>
      </c>
      <c r="D178" s="1" t="s">
        <v>15</v>
      </c>
      <c r="E178" s="2">
        <v>826.97</v>
      </c>
      <c r="F178" s="2">
        <v>18</v>
      </c>
      <c r="G178" s="2">
        <v>0.2</v>
      </c>
      <c r="H178" s="3">
        <v>45715</v>
      </c>
      <c r="I178" s="5">
        <v>330.79</v>
      </c>
      <c r="J178" s="2">
        <f>Sales_Data1[[#This Row],[Sales]]*Sales_Data1[[#This Row],[Quantity]]*(1-Sales_Data1[[#This Row],[Discount]])</f>
        <v>11908.368000000002</v>
      </c>
      <c r="K178" s="1"/>
      <c r="L178" s="1"/>
      <c r="M178" s="1"/>
      <c r="N178" s="1"/>
      <c r="O178" s="1"/>
      <c r="P178" s="1"/>
      <c r="Q178" s="1"/>
      <c r="R178" s="1"/>
      <c r="S178" s="1"/>
      <c r="T178" s="1"/>
      <c r="U178" s="1"/>
      <c r="V178" s="1"/>
      <c r="W178" s="1"/>
      <c r="X178" s="1"/>
      <c r="Y178" s="1"/>
      <c r="Z178" s="1"/>
    </row>
    <row r="179" spans="1:26" ht="17" customHeight="1" thickBot="1" x14ac:dyDescent="0.4">
      <c r="A179" s="4" t="s">
        <v>16</v>
      </c>
      <c r="B179" s="1" t="s">
        <v>31</v>
      </c>
      <c r="C179" s="1" t="s">
        <v>34</v>
      </c>
      <c r="D179" s="1" t="s">
        <v>15</v>
      </c>
      <c r="E179" s="2">
        <v>1022.23</v>
      </c>
      <c r="F179" s="2">
        <v>8</v>
      </c>
      <c r="G179" s="2">
        <v>0.1</v>
      </c>
      <c r="H179" s="3">
        <v>45717</v>
      </c>
      <c r="I179" s="5">
        <v>460</v>
      </c>
      <c r="J179" s="2">
        <f>Sales_Data1[[#This Row],[Sales]]*Sales_Data1[[#This Row],[Quantity]]*(1-Sales_Data1[[#This Row],[Discount]])</f>
        <v>7360.0560000000005</v>
      </c>
      <c r="K179" s="1"/>
      <c r="L179" s="1"/>
      <c r="M179" s="1"/>
      <c r="N179" s="1"/>
      <c r="O179" s="1"/>
      <c r="P179" s="1"/>
      <c r="Q179" s="1"/>
      <c r="R179" s="1"/>
      <c r="S179" s="1"/>
      <c r="T179" s="1"/>
      <c r="U179" s="1"/>
      <c r="V179" s="1"/>
      <c r="W179" s="1"/>
      <c r="X179" s="1"/>
      <c r="Y179" s="1"/>
      <c r="Z179" s="1"/>
    </row>
    <row r="180" spans="1:26" ht="17" customHeight="1" thickBot="1" x14ac:dyDescent="0.4">
      <c r="A180" s="4" t="s">
        <v>72</v>
      </c>
      <c r="B180" s="1" t="s">
        <v>29</v>
      </c>
      <c r="C180" s="1" t="s">
        <v>18</v>
      </c>
      <c r="D180" s="1" t="s">
        <v>12</v>
      </c>
      <c r="E180" s="2">
        <v>1099.69</v>
      </c>
      <c r="F180" s="2">
        <v>6</v>
      </c>
      <c r="G180" s="2">
        <v>0</v>
      </c>
      <c r="H180" s="3">
        <v>45718</v>
      </c>
      <c r="I180" s="5">
        <v>439.88</v>
      </c>
      <c r="J180" s="2">
        <f>Sales_Data1[[#This Row],[Sales]]*Sales_Data1[[#This Row],[Quantity]]*(1-Sales_Data1[[#This Row],[Discount]])</f>
        <v>6598.14</v>
      </c>
      <c r="K180" s="1"/>
      <c r="L180" s="1"/>
      <c r="M180" s="1"/>
      <c r="N180" s="1"/>
      <c r="O180" s="1"/>
      <c r="P180" s="1"/>
      <c r="Q180" s="1"/>
      <c r="R180" s="1"/>
      <c r="S180" s="1"/>
      <c r="T180" s="1"/>
      <c r="U180" s="1"/>
      <c r="V180" s="1"/>
      <c r="W180" s="1"/>
      <c r="X180" s="1"/>
      <c r="Y180" s="1"/>
      <c r="Z180" s="1"/>
    </row>
    <row r="181" spans="1:26" ht="17" customHeight="1" thickBot="1" x14ac:dyDescent="0.4">
      <c r="A181" s="4" t="s">
        <v>52</v>
      </c>
      <c r="B181" s="1" t="s">
        <v>64</v>
      </c>
      <c r="C181" s="1" t="s">
        <v>24</v>
      </c>
      <c r="D181" s="1" t="s">
        <v>12</v>
      </c>
      <c r="E181" s="2">
        <v>710.52</v>
      </c>
      <c r="F181" s="2">
        <v>8</v>
      </c>
      <c r="G181" s="2">
        <v>0.1</v>
      </c>
      <c r="H181" s="3">
        <v>45721</v>
      </c>
      <c r="I181" s="5">
        <v>255.79</v>
      </c>
      <c r="J181" s="2">
        <f>Sales_Data1[[#This Row],[Sales]]*Sales_Data1[[#This Row],[Quantity]]*(1-Sales_Data1[[#This Row],[Discount]])</f>
        <v>5115.7439999999997</v>
      </c>
      <c r="K181" s="1"/>
      <c r="L181" s="1"/>
      <c r="M181" s="1"/>
      <c r="N181" s="1"/>
      <c r="O181" s="1"/>
      <c r="P181" s="1"/>
      <c r="Q181" s="1"/>
      <c r="R181" s="1"/>
      <c r="S181" s="1"/>
      <c r="T181" s="1"/>
      <c r="U181" s="1"/>
      <c r="V181" s="1"/>
      <c r="W181" s="1"/>
      <c r="X181" s="1"/>
      <c r="Y181" s="1"/>
      <c r="Z181" s="1"/>
    </row>
    <row r="182" spans="1:26" ht="17" customHeight="1" thickBot="1" x14ac:dyDescent="0.4">
      <c r="A182" s="4" t="s">
        <v>52</v>
      </c>
      <c r="B182" s="1" t="s">
        <v>59</v>
      </c>
      <c r="C182" s="1" t="s">
        <v>24</v>
      </c>
      <c r="D182" s="1" t="s">
        <v>12</v>
      </c>
      <c r="E182" s="2">
        <v>499.18</v>
      </c>
      <c r="F182" s="2">
        <v>15</v>
      </c>
      <c r="G182" s="2">
        <v>0.2</v>
      </c>
      <c r="H182" s="3">
        <v>45724</v>
      </c>
      <c r="I182" s="5">
        <v>159.74</v>
      </c>
      <c r="J182" s="2">
        <f>Sales_Data1[[#This Row],[Sales]]*Sales_Data1[[#This Row],[Quantity]]*(1-Sales_Data1[[#This Row],[Discount]])</f>
        <v>5990.16</v>
      </c>
      <c r="K182" s="1"/>
      <c r="L182" s="1"/>
      <c r="M182" s="1"/>
      <c r="N182" s="1"/>
      <c r="O182" s="1"/>
      <c r="P182" s="1"/>
      <c r="Q182" s="1"/>
      <c r="R182" s="1"/>
      <c r="S182" s="1"/>
      <c r="T182" s="1"/>
      <c r="U182" s="1"/>
      <c r="V182" s="1"/>
      <c r="W182" s="1"/>
      <c r="X182" s="1"/>
      <c r="Y182" s="1"/>
      <c r="Z182" s="1"/>
    </row>
    <row r="183" spans="1:26" ht="17" customHeight="1" thickBot="1" x14ac:dyDescent="0.4">
      <c r="A183" s="4" t="s">
        <v>37</v>
      </c>
      <c r="B183" s="1" t="s">
        <v>38</v>
      </c>
      <c r="C183" s="1" t="s">
        <v>20</v>
      </c>
      <c r="D183" s="1" t="s">
        <v>12</v>
      </c>
      <c r="E183" s="2">
        <v>1064.19</v>
      </c>
      <c r="F183" s="2">
        <v>18</v>
      </c>
      <c r="G183" s="2">
        <v>0.05</v>
      </c>
      <c r="H183" s="3">
        <v>45725</v>
      </c>
      <c r="I183" s="5">
        <v>404.39</v>
      </c>
      <c r="J183" s="2">
        <f>Sales_Data1[[#This Row],[Sales]]*Sales_Data1[[#This Row],[Quantity]]*(1-Sales_Data1[[#This Row],[Discount]])</f>
        <v>18197.649000000001</v>
      </c>
      <c r="K183" s="1"/>
      <c r="L183" s="1"/>
      <c r="M183" s="1"/>
      <c r="N183" s="1"/>
      <c r="O183" s="1"/>
      <c r="P183" s="1"/>
      <c r="Q183" s="1"/>
      <c r="R183" s="1"/>
      <c r="S183" s="1"/>
      <c r="T183" s="1"/>
      <c r="U183" s="1"/>
      <c r="V183" s="1"/>
      <c r="W183" s="1"/>
      <c r="X183" s="1"/>
      <c r="Y183" s="1"/>
      <c r="Z183" s="1"/>
    </row>
    <row r="184" spans="1:26" ht="17" customHeight="1" thickBot="1" x14ac:dyDescent="0.4">
      <c r="A184" s="4" t="s">
        <v>67</v>
      </c>
      <c r="B184" s="1" t="s">
        <v>38</v>
      </c>
      <c r="C184" s="1" t="s">
        <v>18</v>
      </c>
      <c r="D184" s="1" t="s">
        <v>39</v>
      </c>
      <c r="E184" s="2">
        <v>438.76</v>
      </c>
      <c r="F184" s="2">
        <v>18</v>
      </c>
      <c r="G184" s="2">
        <v>0.05</v>
      </c>
      <c r="H184" s="3">
        <v>45726</v>
      </c>
      <c r="I184" s="5">
        <v>187.57</v>
      </c>
      <c r="J184" s="2">
        <f>Sales_Data1[[#This Row],[Sales]]*Sales_Data1[[#This Row],[Quantity]]*(1-Sales_Data1[[#This Row],[Discount]])</f>
        <v>7502.7960000000003</v>
      </c>
      <c r="K184" s="1"/>
      <c r="L184" s="1"/>
      <c r="M184" s="1"/>
      <c r="N184" s="1"/>
      <c r="O184" s="1"/>
      <c r="P184" s="1"/>
      <c r="Q184" s="1"/>
      <c r="R184" s="1"/>
      <c r="S184" s="1"/>
      <c r="T184" s="1"/>
      <c r="U184" s="1"/>
      <c r="V184" s="1"/>
      <c r="W184" s="1"/>
      <c r="X184" s="1"/>
      <c r="Y184" s="1"/>
      <c r="Z184" s="1"/>
    </row>
    <row r="185" spans="1:26" ht="17" customHeight="1" thickBot="1" x14ac:dyDescent="0.4">
      <c r="A185" s="4" t="s">
        <v>41</v>
      </c>
      <c r="B185" s="1" t="s">
        <v>55</v>
      </c>
      <c r="C185" s="1" t="s">
        <v>11</v>
      </c>
      <c r="D185" s="1" t="s">
        <v>15</v>
      </c>
      <c r="E185" s="2">
        <v>864.98</v>
      </c>
      <c r="F185" s="2">
        <v>2</v>
      </c>
      <c r="G185" s="2">
        <v>0.05</v>
      </c>
      <c r="H185" s="3">
        <v>45727</v>
      </c>
      <c r="I185" s="5">
        <v>410.87</v>
      </c>
      <c r="J185" s="2">
        <f>Sales_Data1[[#This Row],[Sales]]*Sales_Data1[[#This Row],[Quantity]]*(1-Sales_Data1[[#This Row],[Discount]])</f>
        <v>1643.462</v>
      </c>
      <c r="K185" s="1"/>
      <c r="L185" s="1"/>
      <c r="M185" s="1"/>
      <c r="N185" s="1"/>
      <c r="O185" s="1"/>
      <c r="P185" s="1"/>
      <c r="Q185" s="1"/>
      <c r="R185" s="1"/>
      <c r="S185" s="1"/>
      <c r="T185" s="1"/>
      <c r="U185" s="1"/>
      <c r="V185" s="1"/>
      <c r="W185" s="1"/>
      <c r="X185" s="1"/>
      <c r="Y185" s="1"/>
      <c r="Z185" s="1"/>
    </row>
    <row r="186" spans="1:26" ht="17" customHeight="1" thickBot="1" x14ac:dyDescent="0.4">
      <c r="A186" s="4" t="s">
        <v>57</v>
      </c>
      <c r="B186" s="1" t="s">
        <v>55</v>
      </c>
      <c r="C186" s="1" t="s">
        <v>11</v>
      </c>
      <c r="D186" s="1" t="s">
        <v>27</v>
      </c>
      <c r="E186" s="2">
        <v>984.93</v>
      </c>
      <c r="F186" s="2">
        <v>14</v>
      </c>
      <c r="G186" s="2">
        <v>0.2</v>
      </c>
      <c r="H186" s="3">
        <v>45733</v>
      </c>
      <c r="I186" s="5">
        <v>275.77999999999997</v>
      </c>
      <c r="J186" s="2">
        <f>Sales_Data1[[#This Row],[Sales]]*Sales_Data1[[#This Row],[Quantity]]*(1-Sales_Data1[[#This Row],[Discount]])</f>
        <v>11031.216</v>
      </c>
      <c r="K186" s="1"/>
      <c r="L186" s="1"/>
      <c r="M186" s="1"/>
      <c r="N186" s="1"/>
      <c r="O186" s="1"/>
      <c r="P186" s="1"/>
      <c r="Q186" s="1"/>
      <c r="R186" s="1"/>
      <c r="S186" s="1"/>
      <c r="T186" s="1"/>
      <c r="U186" s="1"/>
      <c r="V186" s="1"/>
      <c r="W186" s="1"/>
      <c r="X186" s="1"/>
      <c r="Y186" s="1"/>
      <c r="Z186" s="1"/>
    </row>
    <row r="187" spans="1:26" ht="17" customHeight="1" thickBot="1" x14ac:dyDescent="0.4">
      <c r="A187" s="4" t="s">
        <v>25</v>
      </c>
      <c r="B187" s="1" t="s">
        <v>55</v>
      </c>
      <c r="C187" s="1" t="s">
        <v>11</v>
      </c>
      <c r="D187" s="1" t="s">
        <v>15</v>
      </c>
      <c r="E187" s="2">
        <v>1493.49</v>
      </c>
      <c r="F187" s="2">
        <v>18</v>
      </c>
      <c r="G187" s="2">
        <v>0</v>
      </c>
      <c r="H187" s="3">
        <v>45734</v>
      </c>
      <c r="I187" s="5">
        <v>746.74</v>
      </c>
      <c r="J187" s="2">
        <f>Sales_Data1[[#This Row],[Sales]]*Sales_Data1[[#This Row],[Quantity]]*(1-Sales_Data1[[#This Row],[Discount]])</f>
        <v>26882.82</v>
      </c>
      <c r="K187" s="1"/>
      <c r="L187" s="1"/>
      <c r="M187" s="1"/>
      <c r="N187" s="1"/>
      <c r="O187" s="1"/>
      <c r="P187" s="1"/>
      <c r="Q187" s="1"/>
      <c r="R187" s="1"/>
      <c r="S187" s="1"/>
      <c r="T187" s="1"/>
      <c r="U187" s="1"/>
      <c r="V187" s="1"/>
      <c r="W187" s="1"/>
      <c r="X187" s="1"/>
      <c r="Y187" s="1"/>
      <c r="Z187" s="1"/>
    </row>
    <row r="188" spans="1:26" ht="17" customHeight="1" thickBot="1" x14ac:dyDescent="0.4">
      <c r="A188" s="4" t="s">
        <v>32</v>
      </c>
      <c r="B188" s="1" t="s">
        <v>53</v>
      </c>
      <c r="C188" s="1" t="s">
        <v>20</v>
      </c>
      <c r="D188" s="1" t="s">
        <v>15</v>
      </c>
      <c r="E188" s="2">
        <v>689.43</v>
      </c>
      <c r="F188" s="2">
        <v>9</v>
      </c>
      <c r="G188" s="2">
        <v>0.1</v>
      </c>
      <c r="H188" s="3">
        <v>45736</v>
      </c>
      <c r="I188" s="5">
        <v>310.24</v>
      </c>
      <c r="J188" s="2">
        <f>Sales_Data1[[#This Row],[Sales]]*Sales_Data1[[#This Row],[Quantity]]*(1-Sales_Data1[[#This Row],[Discount]])</f>
        <v>5584.3829999999998</v>
      </c>
      <c r="K188" s="1"/>
      <c r="L188" s="1"/>
      <c r="M188" s="1"/>
      <c r="N188" s="1"/>
      <c r="O188" s="1"/>
      <c r="P188" s="1"/>
      <c r="Q188" s="1"/>
      <c r="R188" s="1"/>
      <c r="S188" s="1"/>
      <c r="T188" s="1"/>
      <c r="U188" s="1"/>
      <c r="V188" s="1"/>
      <c r="W188" s="1"/>
      <c r="X188" s="1"/>
      <c r="Y188" s="1"/>
      <c r="Z188" s="1"/>
    </row>
    <row r="189" spans="1:26" ht="17" customHeight="1" thickBot="1" x14ac:dyDescent="0.4">
      <c r="A189" s="4" t="s">
        <v>40</v>
      </c>
      <c r="B189" s="1" t="s">
        <v>59</v>
      </c>
      <c r="C189" s="1" t="s">
        <v>20</v>
      </c>
      <c r="D189" s="1" t="s">
        <v>15</v>
      </c>
      <c r="E189" s="2">
        <v>682.24</v>
      </c>
      <c r="F189" s="2">
        <v>1</v>
      </c>
      <c r="G189" s="2">
        <v>0</v>
      </c>
      <c r="H189" s="3">
        <v>45738</v>
      </c>
      <c r="I189" s="5">
        <v>341.12</v>
      </c>
      <c r="J189" s="2">
        <f>Sales_Data1[[#This Row],[Sales]]*Sales_Data1[[#This Row],[Quantity]]*(1-Sales_Data1[[#This Row],[Discount]])</f>
        <v>682.24</v>
      </c>
      <c r="K189" s="1"/>
      <c r="L189" s="1"/>
      <c r="M189" s="1"/>
      <c r="N189" s="1"/>
      <c r="O189" s="1"/>
      <c r="P189" s="1"/>
      <c r="Q189" s="1"/>
      <c r="R189" s="1"/>
      <c r="S189" s="1"/>
      <c r="T189" s="1"/>
      <c r="U189" s="1"/>
      <c r="V189" s="1"/>
      <c r="W189" s="1"/>
      <c r="X189" s="1"/>
      <c r="Y189" s="1"/>
      <c r="Z189" s="1"/>
    </row>
    <row r="190" spans="1:26" ht="17" customHeight="1" thickBot="1" x14ac:dyDescent="0.4">
      <c r="A190" s="4" t="s">
        <v>41</v>
      </c>
      <c r="B190" s="1" t="s">
        <v>26</v>
      </c>
      <c r="C190" s="1" t="s">
        <v>24</v>
      </c>
      <c r="D190" s="1" t="s">
        <v>21</v>
      </c>
      <c r="E190" s="2">
        <v>458.54</v>
      </c>
      <c r="F190" s="2">
        <v>15</v>
      </c>
      <c r="G190" s="2">
        <v>0.2</v>
      </c>
      <c r="H190" s="3">
        <v>45741</v>
      </c>
      <c r="I190" s="5">
        <v>91.71</v>
      </c>
      <c r="J190" s="2">
        <f>Sales_Data1[[#This Row],[Sales]]*Sales_Data1[[#This Row],[Quantity]]*(1-Sales_Data1[[#This Row],[Discount]])</f>
        <v>5502.4800000000005</v>
      </c>
      <c r="K190" s="1"/>
      <c r="L190" s="1"/>
      <c r="M190" s="1"/>
      <c r="N190" s="1"/>
      <c r="O190" s="1"/>
      <c r="P190" s="1"/>
      <c r="Q190" s="1"/>
      <c r="R190" s="1"/>
      <c r="S190" s="1"/>
      <c r="T190" s="1"/>
      <c r="U190" s="1"/>
      <c r="V190" s="1"/>
      <c r="W190" s="1"/>
      <c r="X190" s="1"/>
      <c r="Y190" s="1"/>
      <c r="Z190" s="1"/>
    </row>
    <row r="191" spans="1:26" ht="17" customHeight="1" thickBot="1" x14ac:dyDescent="0.4">
      <c r="A191" s="4" t="s">
        <v>32</v>
      </c>
      <c r="B191" s="1" t="s">
        <v>26</v>
      </c>
      <c r="C191" s="1" t="s">
        <v>20</v>
      </c>
      <c r="D191" s="1" t="s">
        <v>27</v>
      </c>
      <c r="E191" s="2">
        <v>1184.25</v>
      </c>
      <c r="F191" s="2">
        <v>11</v>
      </c>
      <c r="G191" s="2">
        <v>0.2</v>
      </c>
      <c r="H191" s="3">
        <v>45742</v>
      </c>
      <c r="I191" s="5">
        <v>331.59</v>
      </c>
      <c r="J191" s="2">
        <f>Sales_Data1[[#This Row],[Sales]]*Sales_Data1[[#This Row],[Quantity]]*(1-Sales_Data1[[#This Row],[Discount]])</f>
        <v>10421.400000000001</v>
      </c>
      <c r="K191" s="1"/>
      <c r="L191" s="1"/>
      <c r="M191" s="1"/>
      <c r="N191" s="1"/>
      <c r="O191" s="1"/>
      <c r="P191" s="1"/>
      <c r="Q191" s="1"/>
      <c r="R191" s="1"/>
      <c r="S191" s="1"/>
      <c r="T191" s="1"/>
      <c r="U191" s="1"/>
      <c r="V191" s="1"/>
      <c r="W191" s="1"/>
      <c r="X191" s="1"/>
      <c r="Y191" s="1"/>
      <c r="Z191" s="1"/>
    </row>
    <row r="192" spans="1:26" ht="17" customHeight="1" thickBot="1" x14ac:dyDescent="0.4">
      <c r="A192" s="4" t="s">
        <v>25</v>
      </c>
      <c r="B192" s="1" t="s">
        <v>10</v>
      </c>
      <c r="C192" s="1" t="s">
        <v>20</v>
      </c>
      <c r="D192" s="1" t="s">
        <v>15</v>
      </c>
      <c r="E192" s="2">
        <v>762.14</v>
      </c>
      <c r="F192" s="2">
        <v>9</v>
      </c>
      <c r="G192" s="2">
        <v>0</v>
      </c>
      <c r="H192" s="3">
        <v>45743</v>
      </c>
      <c r="I192" s="5">
        <v>381.07</v>
      </c>
      <c r="J192" s="2">
        <f>Sales_Data1[[#This Row],[Sales]]*Sales_Data1[[#This Row],[Quantity]]*(1-Sales_Data1[[#This Row],[Discount]])</f>
        <v>6859.26</v>
      </c>
      <c r="K192" s="1"/>
      <c r="L192" s="1"/>
      <c r="M192" s="1"/>
      <c r="N192" s="1"/>
      <c r="O192" s="1"/>
      <c r="P192" s="1"/>
      <c r="Q192" s="1"/>
      <c r="R192" s="1"/>
      <c r="S192" s="1"/>
      <c r="T192" s="1"/>
      <c r="U192" s="1"/>
      <c r="V192" s="1"/>
      <c r="W192" s="1"/>
      <c r="X192" s="1"/>
      <c r="Y192" s="1"/>
      <c r="Z192" s="1"/>
    </row>
    <row r="193" spans="1:26" ht="17" customHeight="1" thickBot="1" x14ac:dyDescent="0.4">
      <c r="A193" s="4" t="s">
        <v>22</v>
      </c>
      <c r="B193" s="1" t="s">
        <v>53</v>
      </c>
      <c r="C193" s="1" t="s">
        <v>24</v>
      </c>
      <c r="D193" s="1" t="s">
        <v>12</v>
      </c>
      <c r="E193" s="2">
        <v>750.71</v>
      </c>
      <c r="F193" s="2">
        <v>10</v>
      </c>
      <c r="G193" s="2">
        <v>0.15</v>
      </c>
      <c r="H193" s="3">
        <v>45743</v>
      </c>
      <c r="I193" s="5">
        <v>255.24</v>
      </c>
      <c r="J193" s="2">
        <f>Sales_Data1[[#This Row],[Sales]]*Sales_Data1[[#This Row],[Quantity]]*(1-Sales_Data1[[#This Row],[Discount]])</f>
        <v>6381.0349999999999</v>
      </c>
      <c r="K193" s="1"/>
      <c r="L193" s="1"/>
      <c r="M193" s="1"/>
      <c r="N193" s="1"/>
      <c r="O193" s="1"/>
      <c r="P193" s="1"/>
      <c r="Q193" s="1"/>
      <c r="R193" s="1"/>
      <c r="S193" s="1"/>
      <c r="T193" s="1"/>
      <c r="U193" s="1"/>
      <c r="V193" s="1"/>
      <c r="W193" s="1"/>
      <c r="X193" s="1"/>
      <c r="Y193" s="1"/>
      <c r="Z193" s="1"/>
    </row>
    <row r="194" spans="1:26" ht="17" customHeight="1" thickBot="1" x14ac:dyDescent="0.4">
      <c r="A194" s="4" t="s">
        <v>75</v>
      </c>
      <c r="B194" s="1" t="s">
        <v>71</v>
      </c>
      <c r="C194" s="1" t="s">
        <v>34</v>
      </c>
      <c r="D194" s="1" t="s">
        <v>15</v>
      </c>
      <c r="E194" s="2">
        <v>1456.94</v>
      </c>
      <c r="F194" s="2">
        <v>14</v>
      </c>
      <c r="G194" s="2">
        <v>0.05</v>
      </c>
      <c r="H194" s="3">
        <v>45745</v>
      </c>
      <c r="I194" s="5">
        <v>692.05</v>
      </c>
      <c r="J194" s="2">
        <f>Sales_Data1[[#This Row],[Sales]]*Sales_Data1[[#This Row],[Quantity]]*(1-Sales_Data1[[#This Row],[Discount]])</f>
        <v>19377.302</v>
      </c>
      <c r="K194" s="1"/>
      <c r="L194" s="1"/>
      <c r="M194" s="1"/>
      <c r="N194" s="1"/>
      <c r="O194" s="1"/>
      <c r="P194" s="1"/>
      <c r="Q194" s="1"/>
      <c r="R194" s="1"/>
      <c r="S194" s="1"/>
      <c r="T194" s="1"/>
      <c r="U194" s="1"/>
      <c r="V194" s="1"/>
      <c r="W194" s="1"/>
      <c r="X194" s="1"/>
      <c r="Y194" s="1"/>
      <c r="Z194" s="1"/>
    </row>
    <row r="195" spans="1:26" ht="17" customHeight="1" thickBot="1" x14ac:dyDescent="0.4">
      <c r="A195" s="4" t="s">
        <v>44</v>
      </c>
      <c r="B195" s="1" t="s">
        <v>61</v>
      </c>
      <c r="C195" s="1" t="s">
        <v>18</v>
      </c>
      <c r="D195" s="1" t="s">
        <v>27</v>
      </c>
      <c r="E195" s="2">
        <v>1093.3800000000001</v>
      </c>
      <c r="F195" s="2">
        <v>17</v>
      </c>
      <c r="G195" s="2">
        <v>0.1</v>
      </c>
      <c r="H195" s="3">
        <v>45745</v>
      </c>
      <c r="I195" s="5">
        <v>344.41</v>
      </c>
      <c r="J195" s="2">
        <f>Sales_Data1[[#This Row],[Sales]]*Sales_Data1[[#This Row],[Quantity]]*(1-Sales_Data1[[#This Row],[Discount]])</f>
        <v>16728.714000000004</v>
      </c>
      <c r="K195" s="1"/>
      <c r="L195" s="1"/>
      <c r="M195" s="1"/>
      <c r="N195" s="1"/>
      <c r="O195" s="1"/>
      <c r="P195" s="1"/>
      <c r="Q195" s="1"/>
      <c r="R195" s="1"/>
      <c r="S195" s="1"/>
      <c r="T195" s="1"/>
      <c r="U195" s="1"/>
      <c r="V195" s="1"/>
      <c r="W195" s="1"/>
      <c r="X195" s="1"/>
      <c r="Y195" s="1"/>
      <c r="Z195" s="1"/>
    </row>
    <row r="196" spans="1:26" ht="17" customHeight="1" thickBot="1" x14ac:dyDescent="0.4">
      <c r="A196" s="4" t="s">
        <v>37</v>
      </c>
      <c r="B196" s="1" t="s">
        <v>43</v>
      </c>
      <c r="C196" s="1" t="s">
        <v>11</v>
      </c>
      <c r="D196" s="1" t="s">
        <v>15</v>
      </c>
      <c r="E196" s="2">
        <v>934.27</v>
      </c>
      <c r="F196" s="2">
        <v>8</v>
      </c>
      <c r="G196" s="2">
        <v>0.15</v>
      </c>
      <c r="H196" s="3">
        <v>45746</v>
      </c>
      <c r="I196" s="5">
        <v>397.06</v>
      </c>
      <c r="J196" s="2">
        <f>Sales_Data1[[#This Row],[Sales]]*Sales_Data1[[#This Row],[Quantity]]*(1-Sales_Data1[[#This Row],[Discount]])</f>
        <v>6353.0360000000001</v>
      </c>
      <c r="K196" s="1"/>
      <c r="L196" s="1"/>
      <c r="M196" s="1"/>
      <c r="N196" s="1"/>
      <c r="O196" s="1"/>
      <c r="P196" s="1"/>
      <c r="Q196" s="1"/>
      <c r="R196" s="1"/>
      <c r="S196" s="1"/>
      <c r="T196" s="1"/>
      <c r="U196" s="1"/>
      <c r="V196" s="1"/>
      <c r="W196" s="1"/>
      <c r="X196" s="1"/>
      <c r="Y196" s="1"/>
      <c r="Z196" s="1"/>
    </row>
    <row r="197" spans="1:26" ht="17" customHeight="1" thickBot="1" x14ac:dyDescent="0.4">
      <c r="A197" s="4" t="s">
        <v>70</v>
      </c>
      <c r="B197" s="1" t="s">
        <v>36</v>
      </c>
      <c r="C197" s="1" t="s">
        <v>34</v>
      </c>
      <c r="D197" s="1" t="s">
        <v>15</v>
      </c>
      <c r="E197" s="2">
        <v>1465.35</v>
      </c>
      <c r="F197" s="2">
        <v>8</v>
      </c>
      <c r="G197" s="2">
        <v>0.2</v>
      </c>
      <c r="H197" s="3">
        <v>45746</v>
      </c>
      <c r="I197" s="5">
        <v>586.14</v>
      </c>
      <c r="J197" s="2">
        <f>Sales_Data1[[#This Row],[Sales]]*Sales_Data1[[#This Row],[Quantity]]*(1-Sales_Data1[[#This Row],[Discount]])</f>
        <v>9378.24</v>
      </c>
      <c r="K197" s="1"/>
      <c r="L197" s="1"/>
      <c r="M197" s="1"/>
      <c r="N197" s="1"/>
      <c r="O197" s="1"/>
      <c r="P197" s="1"/>
      <c r="Q197" s="1"/>
      <c r="R197" s="1"/>
      <c r="S197" s="1"/>
      <c r="T197" s="1"/>
      <c r="U197" s="1"/>
      <c r="V197" s="1"/>
      <c r="W197" s="1"/>
      <c r="X197" s="1"/>
      <c r="Y197" s="1"/>
      <c r="Z197" s="1"/>
    </row>
    <row r="198" spans="1:26" ht="17" customHeight="1" thickBot="1" x14ac:dyDescent="0.4">
      <c r="A198" s="4" t="s">
        <v>52</v>
      </c>
      <c r="B198" s="1" t="s">
        <v>14</v>
      </c>
      <c r="C198" s="1" t="s">
        <v>20</v>
      </c>
      <c r="D198" s="1" t="s">
        <v>39</v>
      </c>
      <c r="E198" s="2">
        <v>740.8</v>
      </c>
      <c r="F198" s="2">
        <v>3</v>
      </c>
      <c r="G198" s="2">
        <v>0</v>
      </c>
      <c r="H198" s="3">
        <v>45749</v>
      </c>
      <c r="I198" s="5">
        <v>333.36</v>
      </c>
      <c r="J198" s="2">
        <f>Sales_Data1[[#This Row],[Sales]]*Sales_Data1[[#This Row],[Quantity]]*(1-Sales_Data1[[#This Row],[Discount]])</f>
        <v>2222.3999999999996</v>
      </c>
      <c r="K198" s="1"/>
      <c r="L198" s="1"/>
      <c r="M198" s="1"/>
      <c r="N198" s="1"/>
      <c r="O198" s="1"/>
      <c r="P198" s="1"/>
      <c r="Q198" s="1"/>
      <c r="R198" s="1"/>
      <c r="S198" s="1"/>
      <c r="T198" s="1"/>
      <c r="U198" s="1"/>
      <c r="V198" s="1"/>
      <c r="W198" s="1"/>
      <c r="X198" s="1"/>
      <c r="Y198" s="1"/>
      <c r="Z198" s="1"/>
    </row>
    <row r="199" spans="1:26" ht="17" customHeight="1" thickBot="1" x14ac:dyDescent="0.4">
      <c r="A199" s="4" t="s">
        <v>58</v>
      </c>
      <c r="B199" s="1" t="s">
        <v>43</v>
      </c>
      <c r="C199" s="1" t="s">
        <v>11</v>
      </c>
      <c r="D199" s="1" t="s">
        <v>39</v>
      </c>
      <c r="E199" s="2">
        <v>545.44000000000005</v>
      </c>
      <c r="F199" s="2">
        <v>17</v>
      </c>
      <c r="G199" s="2">
        <v>0</v>
      </c>
      <c r="H199" s="3">
        <v>45752</v>
      </c>
      <c r="I199" s="5">
        <v>245.45</v>
      </c>
      <c r="J199" s="2">
        <f>Sales_Data1[[#This Row],[Sales]]*Sales_Data1[[#This Row],[Quantity]]*(1-Sales_Data1[[#This Row],[Discount]])</f>
        <v>9272.4800000000014</v>
      </c>
      <c r="K199" s="1"/>
      <c r="L199" s="1"/>
      <c r="M199" s="1"/>
      <c r="N199" s="1"/>
      <c r="O199" s="1"/>
      <c r="P199" s="1"/>
      <c r="Q199" s="1"/>
      <c r="R199" s="1"/>
      <c r="S199" s="1"/>
      <c r="T199" s="1"/>
      <c r="U199" s="1"/>
      <c r="V199" s="1"/>
      <c r="W199" s="1"/>
      <c r="X199" s="1"/>
      <c r="Y199" s="1"/>
      <c r="Z199" s="1"/>
    </row>
    <row r="200" spans="1:26" ht="17" customHeight="1" thickBot="1" x14ac:dyDescent="0.4">
      <c r="A200" s="4" t="s">
        <v>35</v>
      </c>
      <c r="B200" s="1" t="s">
        <v>36</v>
      </c>
      <c r="C200" s="1" t="s">
        <v>18</v>
      </c>
      <c r="D200" s="1" t="s">
        <v>12</v>
      </c>
      <c r="E200" s="2">
        <v>997.61</v>
      </c>
      <c r="F200" s="2">
        <v>8</v>
      </c>
      <c r="G200" s="2">
        <v>0.05</v>
      </c>
      <c r="H200" s="3">
        <v>45752</v>
      </c>
      <c r="I200" s="5">
        <v>379.09</v>
      </c>
      <c r="J200" s="2">
        <f>Sales_Data1[[#This Row],[Sales]]*Sales_Data1[[#This Row],[Quantity]]*(1-Sales_Data1[[#This Row],[Discount]])</f>
        <v>7581.8359999999993</v>
      </c>
      <c r="K200" s="1"/>
      <c r="L200" s="1"/>
      <c r="M200" s="1"/>
      <c r="N200" s="1"/>
      <c r="O200" s="1"/>
      <c r="P200" s="1"/>
      <c r="Q200" s="1"/>
      <c r="R200" s="1"/>
      <c r="S200" s="1"/>
      <c r="T200" s="1"/>
      <c r="U200" s="1"/>
      <c r="V200" s="1"/>
      <c r="W200" s="1"/>
      <c r="X200" s="1"/>
      <c r="Y200" s="1"/>
      <c r="Z200" s="1"/>
    </row>
    <row r="201" spans="1:26" ht="17" customHeight="1" thickBot="1" x14ac:dyDescent="0.4">
      <c r="A201" s="9" t="s">
        <v>60</v>
      </c>
      <c r="B201" s="10" t="s">
        <v>36</v>
      </c>
      <c r="C201" s="10" t="s">
        <v>20</v>
      </c>
      <c r="D201" s="10" t="s">
        <v>15</v>
      </c>
      <c r="E201" s="11">
        <v>928.32</v>
      </c>
      <c r="F201" s="11">
        <v>2</v>
      </c>
      <c r="G201" s="11">
        <v>0.05</v>
      </c>
      <c r="H201" s="12">
        <v>45754</v>
      </c>
      <c r="I201" s="13">
        <v>440.95</v>
      </c>
      <c r="J201" s="11">
        <f>Sales_Data1[[#This Row],[Sales]]*Sales_Data1[[#This Row],[Quantity]]*(1-Sales_Data1[[#This Row],[Discount]])</f>
        <v>1763.808</v>
      </c>
      <c r="K201" s="1"/>
      <c r="L201" s="1"/>
      <c r="M201" s="1"/>
      <c r="N201" s="1"/>
      <c r="O201" s="1"/>
      <c r="P201" s="1"/>
      <c r="Q201" s="1"/>
      <c r="R201" s="1"/>
      <c r="S201" s="1"/>
      <c r="T201" s="1"/>
      <c r="U201" s="1"/>
      <c r="V201" s="1"/>
      <c r="W201" s="1"/>
      <c r="X201" s="1"/>
      <c r="Y201" s="1"/>
      <c r="Z201" s="1"/>
    </row>
    <row r="202" spans="1:26" ht="15" thickBot="1" x14ac:dyDescent="0.4">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 thickBot="1" x14ac:dyDescent="0.4">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 thickBot="1" x14ac:dyDescent="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 thickBot="1" x14ac:dyDescent="0.4">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 thickBot="1" x14ac:dyDescent="0.4">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 thickBot="1" x14ac:dyDescent="0.4">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 thickBot="1" x14ac:dyDescent="0.4">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 thickBot="1" x14ac:dyDescent="0.4">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 thickBot="1" x14ac:dyDescent="0.4">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 thickBot="1" x14ac:dyDescent="0.4">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 thickBot="1" x14ac:dyDescent="0.4">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 thickBot="1" x14ac:dyDescent="0.4">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 thickBot="1" x14ac:dyDescent="0.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 thickBot="1" x14ac:dyDescent="0.4">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 thickBot="1" x14ac:dyDescent="0.4">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 thickBot="1" x14ac:dyDescent="0.4">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 thickBot="1" x14ac:dyDescent="0.4">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 thickBot="1" x14ac:dyDescent="0.4">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 thickBot="1" x14ac:dyDescent="0.4">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 thickBot="1" x14ac:dyDescent="0.4">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 thickBot="1" x14ac:dyDescent="0.4">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 thickBot="1" x14ac:dyDescent="0.4">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 thickBot="1" x14ac:dyDescent="0.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 thickBot="1" x14ac:dyDescent="0.4">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 thickBot="1" x14ac:dyDescent="0.4">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 thickBot="1" x14ac:dyDescent="0.4">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 thickBot="1" x14ac:dyDescent="0.4">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 thickBot="1" x14ac:dyDescent="0.4">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 thickBot="1" x14ac:dyDescent="0.4">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 thickBot="1" x14ac:dyDescent="0.4">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 thickBot="1" x14ac:dyDescent="0.4">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 thickBot="1" x14ac:dyDescent="0.4">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 thickBot="1" x14ac:dyDescent="0.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 thickBot="1" x14ac:dyDescent="0.4">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 thickBot="1" x14ac:dyDescent="0.4">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 thickBot="1" x14ac:dyDescent="0.4">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 thickBot="1" x14ac:dyDescent="0.4">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 thickBot="1" x14ac:dyDescent="0.4">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 thickBot="1" x14ac:dyDescent="0.4">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 thickBot="1" x14ac:dyDescent="0.4">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 thickBot="1" x14ac:dyDescent="0.4">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 thickBot="1" x14ac:dyDescent="0.4">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 thickBot="1" x14ac:dyDescent="0.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 thickBot="1" x14ac:dyDescent="0.4">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 thickBot="1" x14ac:dyDescent="0.4">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 thickBot="1" x14ac:dyDescent="0.4">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 thickBot="1" x14ac:dyDescent="0.4">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 thickBot="1" x14ac:dyDescent="0.4">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 thickBot="1" x14ac:dyDescent="0.4">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 thickBot="1" x14ac:dyDescent="0.4">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 thickBot="1" x14ac:dyDescent="0.4">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 thickBot="1" x14ac:dyDescent="0.4">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 thickBot="1" x14ac:dyDescent="0.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 thickBot="1" x14ac:dyDescent="0.4">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 thickBot="1" x14ac:dyDescent="0.4">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 thickBot="1" x14ac:dyDescent="0.4">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 thickBot="1" x14ac:dyDescent="0.4">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 thickBot="1" x14ac:dyDescent="0.4">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 thickBot="1" x14ac:dyDescent="0.4">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 thickBot="1" x14ac:dyDescent="0.4">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 thickBot="1" x14ac:dyDescent="0.4">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 thickBot="1" x14ac:dyDescent="0.4">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 thickBot="1" x14ac:dyDescent="0.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 thickBot="1" x14ac:dyDescent="0.4">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 thickBot="1" x14ac:dyDescent="0.4">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 thickBot="1" x14ac:dyDescent="0.4">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 thickBot="1" x14ac:dyDescent="0.4">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 thickBot="1" x14ac:dyDescent="0.4">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 thickBot="1" x14ac:dyDescent="0.4">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 thickBot="1" x14ac:dyDescent="0.4">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 thickBot="1" x14ac:dyDescent="0.4">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 thickBot="1" x14ac:dyDescent="0.4">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 thickBot="1" x14ac:dyDescent="0.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 thickBot="1" x14ac:dyDescent="0.4">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 thickBot="1" x14ac:dyDescent="0.4">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 thickBot="1" x14ac:dyDescent="0.4">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 thickBot="1" x14ac:dyDescent="0.4">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 thickBot="1" x14ac:dyDescent="0.4">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 thickBot="1" x14ac:dyDescent="0.4">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 thickBot="1" x14ac:dyDescent="0.4">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 thickBot="1" x14ac:dyDescent="0.4">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 thickBot="1" x14ac:dyDescent="0.4">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 thickBot="1" x14ac:dyDescent="0.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 thickBot="1" x14ac:dyDescent="0.4">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 thickBot="1" x14ac:dyDescent="0.4">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 thickBot="1" x14ac:dyDescent="0.4">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 thickBot="1" x14ac:dyDescent="0.4">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 thickBot="1" x14ac:dyDescent="0.4">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 thickBot="1" x14ac:dyDescent="0.4">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 thickBot="1" x14ac:dyDescent="0.4">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 thickBot="1" x14ac:dyDescent="0.4">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 thickBot="1" x14ac:dyDescent="0.4">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 thickBot="1" x14ac:dyDescent="0.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 thickBot="1" x14ac:dyDescent="0.4">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 thickBot="1" x14ac:dyDescent="0.4">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 thickBot="1" x14ac:dyDescent="0.4">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 thickBot="1" x14ac:dyDescent="0.4">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 thickBot="1" x14ac:dyDescent="0.4">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 thickBot="1" x14ac:dyDescent="0.4">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 thickBot="1" x14ac:dyDescent="0.4">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 thickBot="1" x14ac:dyDescent="0.4">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 thickBot="1" x14ac:dyDescent="0.4">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 thickBot="1" x14ac:dyDescent="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 thickBot="1" x14ac:dyDescent="0.4">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 thickBot="1" x14ac:dyDescent="0.4">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 thickBot="1" x14ac:dyDescent="0.4">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 thickBot="1" x14ac:dyDescent="0.4">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 thickBot="1" x14ac:dyDescent="0.4">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 thickBot="1" x14ac:dyDescent="0.4">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 thickBot="1" x14ac:dyDescent="0.4">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 thickBot="1" x14ac:dyDescent="0.4">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 thickBot="1" x14ac:dyDescent="0.4">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 thickBot="1" x14ac:dyDescent="0.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 thickBot="1" x14ac:dyDescent="0.4">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 thickBot="1" x14ac:dyDescent="0.4">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 thickBot="1" x14ac:dyDescent="0.4">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 thickBot="1" x14ac:dyDescent="0.4">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 thickBot="1" x14ac:dyDescent="0.4">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 thickBot="1" x14ac:dyDescent="0.4">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 thickBot="1" x14ac:dyDescent="0.4">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 thickBot="1" x14ac:dyDescent="0.4">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 thickBot="1" x14ac:dyDescent="0.4">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 thickBot="1" x14ac:dyDescent="0.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 thickBot="1" x14ac:dyDescent="0.4">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 thickBot="1" x14ac:dyDescent="0.4">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 thickBot="1" x14ac:dyDescent="0.4">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 thickBot="1" x14ac:dyDescent="0.4">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 thickBot="1" x14ac:dyDescent="0.4">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 thickBot="1" x14ac:dyDescent="0.4">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 thickBot="1" x14ac:dyDescent="0.4">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 thickBot="1" x14ac:dyDescent="0.4">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 thickBot="1" x14ac:dyDescent="0.4">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 thickBot="1" x14ac:dyDescent="0.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 thickBot="1" x14ac:dyDescent="0.4">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 thickBot="1" x14ac:dyDescent="0.4">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 thickBot="1" x14ac:dyDescent="0.4">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 thickBot="1" x14ac:dyDescent="0.4">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 thickBot="1" x14ac:dyDescent="0.4">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 thickBot="1" x14ac:dyDescent="0.4">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 thickBot="1" x14ac:dyDescent="0.4">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 thickBot="1" x14ac:dyDescent="0.4">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 thickBot="1" x14ac:dyDescent="0.4">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 thickBot="1" x14ac:dyDescent="0.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 thickBot="1" x14ac:dyDescent="0.4">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 thickBot="1" x14ac:dyDescent="0.4">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 thickBot="1" x14ac:dyDescent="0.4">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 thickBot="1" x14ac:dyDescent="0.4">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 thickBot="1" x14ac:dyDescent="0.4">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 thickBot="1" x14ac:dyDescent="0.4">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 thickBot="1" x14ac:dyDescent="0.4">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 thickBot="1" x14ac:dyDescent="0.4">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 thickBot="1" x14ac:dyDescent="0.4">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 thickBot="1" x14ac:dyDescent="0.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 thickBot="1" x14ac:dyDescent="0.4">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 thickBot="1" x14ac:dyDescent="0.4">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 thickBot="1" x14ac:dyDescent="0.4">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 thickBot="1" x14ac:dyDescent="0.4">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 thickBot="1" x14ac:dyDescent="0.4">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 thickBot="1" x14ac:dyDescent="0.4">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 thickBot="1" x14ac:dyDescent="0.4">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 thickBot="1" x14ac:dyDescent="0.4">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 thickBot="1" x14ac:dyDescent="0.4">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 thickBot="1" x14ac:dyDescent="0.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 thickBot="1" x14ac:dyDescent="0.4">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 thickBot="1" x14ac:dyDescent="0.4">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 thickBot="1" x14ac:dyDescent="0.4">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 thickBot="1" x14ac:dyDescent="0.4">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 thickBot="1" x14ac:dyDescent="0.4">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 thickBot="1" x14ac:dyDescent="0.4">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 thickBot="1" x14ac:dyDescent="0.4">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 thickBot="1" x14ac:dyDescent="0.4">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 thickBot="1" x14ac:dyDescent="0.4">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 thickBot="1" x14ac:dyDescent="0.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 thickBot="1" x14ac:dyDescent="0.4">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 thickBot="1" x14ac:dyDescent="0.4">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 thickBot="1" x14ac:dyDescent="0.4">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 thickBot="1" x14ac:dyDescent="0.4">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 thickBot="1" x14ac:dyDescent="0.4">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 thickBot="1" x14ac:dyDescent="0.4">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 thickBot="1" x14ac:dyDescent="0.4">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 thickBot="1" x14ac:dyDescent="0.4">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 thickBot="1" x14ac:dyDescent="0.4">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 thickBot="1" x14ac:dyDescent="0.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 thickBot="1" x14ac:dyDescent="0.4">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 thickBot="1" x14ac:dyDescent="0.4">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 thickBot="1" x14ac:dyDescent="0.4">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 thickBot="1" x14ac:dyDescent="0.4">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 thickBot="1" x14ac:dyDescent="0.4">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 thickBot="1" x14ac:dyDescent="0.4">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 thickBot="1" x14ac:dyDescent="0.4">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 thickBot="1" x14ac:dyDescent="0.4">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 thickBot="1" x14ac:dyDescent="0.4">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 thickBot="1" x14ac:dyDescent="0.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 thickBot="1" x14ac:dyDescent="0.4">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 thickBot="1" x14ac:dyDescent="0.4">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 thickBot="1" x14ac:dyDescent="0.4">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 thickBot="1" x14ac:dyDescent="0.4">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 thickBot="1" x14ac:dyDescent="0.4">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 thickBot="1" x14ac:dyDescent="0.4">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 thickBot="1" x14ac:dyDescent="0.4">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 thickBot="1" x14ac:dyDescent="0.4">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 thickBot="1" x14ac:dyDescent="0.4">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 thickBot="1" x14ac:dyDescent="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 thickBot="1" x14ac:dyDescent="0.4">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 thickBot="1" x14ac:dyDescent="0.4">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 thickBot="1" x14ac:dyDescent="0.4">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 thickBot="1" x14ac:dyDescent="0.4">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 thickBot="1" x14ac:dyDescent="0.4">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 thickBot="1" x14ac:dyDescent="0.4">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 thickBot="1" x14ac:dyDescent="0.4">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 thickBot="1" x14ac:dyDescent="0.4">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 thickBot="1" x14ac:dyDescent="0.4">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 thickBot="1" x14ac:dyDescent="0.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 thickBot="1" x14ac:dyDescent="0.4">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 thickBot="1" x14ac:dyDescent="0.4">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 thickBot="1" x14ac:dyDescent="0.4">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 thickBot="1" x14ac:dyDescent="0.4">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 thickBot="1" x14ac:dyDescent="0.4">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 thickBot="1" x14ac:dyDescent="0.4">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 thickBot="1" x14ac:dyDescent="0.4">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 thickBot="1" x14ac:dyDescent="0.4">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 thickBot="1" x14ac:dyDescent="0.4">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 thickBot="1" x14ac:dyDescent="0.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 thickBot="1" x14ac:dyDescent="0.4">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 thickBot="1" x14ac:dyDescent="0.4">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 thickBot="1" x14ac:dyDescent="0.4">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 thickBot="1" x14ac:dyDescent="0.4">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 thickBot="1" x14ac:dyDescent="0.4">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 thickBot="1" x14ac:dyDescent="0.4">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 thickBot="1" x14ac:dyDescent="0.4">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 thickBot="1" x14ac:dyDescent="0.4">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 thickBot="1" x14ac:dyDescent="0.4">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 thickBot="1" x14ac:dyDescent="0.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 thickBot="1" x14ac:dyDescent="0.4">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 thickBot="1" x14ac:dyDescent="0.4">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 thickBot="1" x14ac:dyDescent="0.4">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 thickBot="1" x14ac:dyDescent="0.4">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 thickBot="1" x14ac:dyDescent="0.4">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 thickBot="1" x14ac:dyDescent="0.4">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 thickBot="1" x14ac:dyDescent="0.4">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 thickBot="1" x14ac:dyDescent="0.4">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 thickBot="1" x14ac:dyDescent="0.4">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 thickBot="1" x14ac:dyDescent="0.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 thickBot="1" x14ac:dyDescent="0.4">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 thickBot="1" x14ac:dyDescent="0.4">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 thickBot="1" x14ac:dyDescent="0.4">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 thickBot="1" x14ac:dyDescent="0.4">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 thickBot="1" x14ac:dyDescent="0.4">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 thickBot="1" x14ac:dyDescent="0.4">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 thickBot="1" x14ac:dyDescent="0.4">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 thickBot="1" x14ac:dyDescent="0.4">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 thickBot="1" x14ac:dyDescent="0.4">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 thickBot="1" x14ac:dyDescent="0.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 thickBot="1" x14ac:dyDescent="0.4">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 thickBot="1" x14ac:dyDescent="0.4">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 thickBot="1" x14ac:dyDescent="0.4">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 thickBot="1" x14ac:dyDescent="0.4">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 thickBot="1" x14ac:dyDescent="0.4">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 thickBot="1" x14ac:dyDescent="0.4">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 thickBot="1" x14ac:dyDescent="0.4">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 thickBot="1" x14ac:dyDescent="0.4">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 thickBot="1" x14ac:dyDescent="0.4">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 thickBot="1" x14ac:dyDescent="0.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 thickBot="1" x14ac:dyDescent="0.4">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 thickBot="1" x14ac:dyDescent="0.4">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 thickBot="1" x14ac:dyDescent="0.4">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 thickBot="1" x14ac:dyDescent="0.4">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 thickBot="1" x14ac:dyDescent="0.4">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 thickBot="1" x14ac:dyDescent="0.4">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 thickBot="1" x14ac:dyDescent="0.4">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 thickBot="1" x14ac:dyDescent="0.4">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 thickBot="1" x14ac:dyDescent="0.4">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 thickBot="1" x14ac:dyDescent="0.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 thickBot="1" x14ac:dyDescent="0.4">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 thickBot="1" x14ac:dyDescent="0.4">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 thickBot="1" x14ac:dyDescent="0.4">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 thickBot="1" x14ac:dyDescent="0.4">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 thickBot="1" x14ac:dyDescent="0.4">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 thickBot="1" x14ac:dyDescent="0.4">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 thickBot="1" x14ac:dyDescent="0.4">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 thickBot="1" x14ac:dyDescent="0.4">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 thickBot="1" x14ac:dyDescent="0.4">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 thickBot="1" x14ac:dyDescent="0.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 thickBot="1" x14ac:dyDescent="0.4">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 thickBot="1" x14ac:dyDescent="0.4">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 thickBot="1" x14ac:dyDescent="0.4">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 thickBot="1" x14ac:dyDescent="0.4">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 thickBot="1" x14ac:dyDescent="0.4">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 thickBot="1" x14ac:dyDescent="0.4">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 thickBot="1" x14ac:dyDescent="0.4">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 thickBot="1" x14ac:dyDescent="0.4">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 thickBot="1" x14ac:dyDescent="0.4">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 thickBot="1" x14ac:dyDescent="0.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 thickBot="1" x14ac:dyDescent="0.4">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 thickBot="1" x14ac:dyDescent="0.4">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 thickBot="1" x14ac:dyDescent="0.4">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 thickBot="1" x14ac:dyDescent="0.4">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 thickBot="1" x14ac:dyDescent="0.4">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 thickBot="1" x14ac:dyDescent="0.4">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 thickBot="1" x14ac:dyDescent="0.4">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 thickBot="1" x14ac:dyDescent="0.4">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 thickBot="1" x14ac:dyDescent="0.4">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 thickBot="1" x14ac:dyDescent="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 thickBot="1" x14ac:dyDescent="0.4">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 thickBot="1" x14ac:dyDescent="0.4">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 thickBot="1" x14ac:dyDescent="0.4">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 thickBot="1" x14ac:dyDescent="0.4">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 thickBot="1" x14ac:dyDescent="0.4">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 thickBot="1" x14ac:dyDescent="0.4">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 thickBot="1" x14ac:dyDescent="0.4">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 thickBot="1" x14ac:dyDescent="0.4">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 thickBot="1" x14ac:dyDescent="0.4">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 thickBot="1" x14ac:dyDescent="0.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 thickBot="1" x14ac:dyDescent="0.4">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 thickBot="1" x14ac:dyDescent="0.4">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 thickBot="1" x14ac:dyDescent="0.4">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 thickBot="1" x14ac:dyDescent="0.4">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 thickBot="1" x14ac:dyDescent="0.4">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 thickBot="1" x14ac:dyDescent="0.4">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 thickBot="1" x14ac:dyDescent="0.4">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 thickBot="1" x14ac:dyDescent="0.4">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 thickBot="1" x14ac:dyDescent="0.4">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 thickBot="1" x14ac:dyDescent="0.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 thickBot="1" x14ac:dyDescent="0.4">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 thickBot="1" x14ac:dyDescent="0.4">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 thickBot="1" x14ac:dyDescent="0.4">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 thickBot="1" x14ac:dyDescent="0.4">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 thickBot="1" x14ac:dyDescent="0.4">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 thickBot="1" x14ac:dyDescent="0.4">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 thickBot="1" x14ac:dyDescent="0.4">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 thickBot="1" x14ac:dyDescent="0.4">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 thickBot="1" x14ac:dyDescent="0.4">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 thickBot="1" x14ac:dyDescent="0.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 thickBot="1" x14ac:dyDescent="0.4">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 thickBot="1" x14ac:dyDescent="0.4">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 thickBot="1" x14ac:dyDescent="0.4">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 thickBot="1" x14ac:dyDescent="0.4">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 thickBot="1" x14ac:dyDescent="0.4">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 thickBot="1" x14ac:dyDescent="0.4">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 thickBot="1" x14ac:dyDescent="0.4">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 thickBot="1" x14ac:dyDescent="0.4">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 thickBot="1" x14ac:dyDescent="0.4">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 thickBot="1" x14ac:dyDescent="0.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 thickBot="1" x14ac:dyDescent="0.4">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 thickBot="1" x14ac:dyDescent="0.4">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 thickBot="1" x14ac:dyDescent="0.4">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 thickBot="1" x14ac:dyDescent="0.4">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 thickBot="1" x14ac:dyDescent="0.4">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 thickBot="1" x14ac:dyDescent="0.4">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 thickBot="1" x14ac:dyDescent="0.4">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 thickBot="1" x14ac:dyDescent="0.4">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 thickBot="1" x14ac:dyDescent="0.4">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 thickBot="1" x14ac:dyDescent="0.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 thickBot="1" x14ac:dyDescent="0.4">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 thickBot="1" x14ac:dyDescent="0.4">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 thickBot="1" x14ac:dyDescent="0.4">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 thickBot="1" x14ac:dyDescent="0.4">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 thickBot="1" x14ac:dyDescent="0.4">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 thickBot="1" x14ac:dyDescent="0.4">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 thickBot="1" x14ac:dyDescent="0.4">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 thickBot="1" x14ac:dyDescent="0.4">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 thickBot="1" x14ac:dyDescent="0.4">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 thickBot="1" x14ac:dyDescent="0.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 thickBot="1" x14ac:dyDescent="0.4">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 thickBot="1" x14ac:dyDescent="0.4">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 thickBot="1" x14ac:dyDescent="0.4">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 thickBot="1" x14ac:dyDescent="0.4">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 thickBot="1" x14ac:dyDescent="0.4">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 thickBot="1" x14ac:dyDescent="0.4">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 thickBot="1" x14ac:dyDescent="0.4">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 thickBot="1" x14ac:dyDescent="0.4">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 thickBot="1" x14ac:dyDescent="0.4">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 thickBot="1" x14ac:dyDescent="0.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 thickBot="1" x14ac:dyDescent="0.4">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 thickBot="1" x14ac:dyDescent="0.4">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 thickBot="1" x14ac:dyDescent="0.4">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 thickBot="1" x14ac:dyDescent="0.4">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 thickBot="1" x14ac:dyDescent="0.4">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 thickBot="1" x14ac:dyDescent="0.4">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 thickBot="1" x14ac:dyDescent="0.4">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 thickBot="1" x14ac:dyDescent="0.4">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 thickBot="1" x14ac:dyDescent="0.4">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 thickBot="1" x14ac:dyDescent="0.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 thickBot="1" x14ac:dyDescent="0.4">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 thickBot="1" x14ac:dyDescent="0.4">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 thickBot="1" x14ac:dyDescent="0.4">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 thickBot="1" x14ac:dyDescent="0.4">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 thickBot="1" x14ac:dyDescent="0.4">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 thickBot="1" x14ac:dyDescent="0.4">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 thickBot="1" x14ac:dyDescent="0.4">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 thickBot="1" x14ac:dyDescent="0.4">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 thickBot="1" x14ac:dyDescent="0.4">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 thickBot="1" x14ac:dyDescent="0.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 thickBot="1" x14ac:dyDescent="0.4">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 thickBot="1" x14ac:dyDescent="0.4">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 thickBot="1" x14ac:dyDescent="0.4">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 thickBot="1" x14ac:dyDescent="0.4">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 thickBot="1" x14ac:dyDescent="0.4">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 thickBot="1" x14ac:dyDescent="0.4">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 thickBot="1" x14ac:dyDescent="0.4">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 thickBot="1" x14ac:dyDescent="0.4">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 thickBot="1" x14ac:dyDescent="0.4">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 thickBot="1" x14ac:dyDescent="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 thickBot="1" x14ac:dyDescent="0.4">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 thickBot="1" x14ac:dyDescent="0.4">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 thickBot="1" x14ac:dyDescent="0.4">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 thickBot="1" x14ac:dyDescent="0.4">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 thickBot="1" x14ac:dyDescent="0.4">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 thickBot="1" x14ac:dyDescent="0.4">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 thickBot="1" x14ac:dyDescent="0.4">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 thickBot="1" x14ac:dyDescent="0.4">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 thickBot="1" x14ac:dyDescent="0.4">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 thickBot="1" x14ac:dyDescent="0.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 thickBot="1" x14ac:dyDescent="0.4">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 thickBot="1" x14ac:dyDescent="0.4">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 thickBot="1" x14ac:dyDescent="0.4">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 thickBot="1" x14ac:dyDescent="0.4">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 thickBot="1" x14ac:dyDescent="0.4">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 thickBot="1" x14ac:dyDescent="0.4">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 thickBot="1" x14ac:dyDescent="0.4">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 thickBot="1" x14ac:dyDescent="0.4">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 thickBot="1" x14ac:dyDescent="0.4">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 thickBot="1" x14ac:dyDescent="0.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 thickBot="1" x14ac:dyDescent="0.4">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 thickBot="1" x14ac:dyDescent="0.4">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 thickBot="1" x14ac:dyDescent="0.4">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 thickBot="1" x14ac:dyDescent="0.4">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 thickBot="1" x14ac:dyDescent="0.4">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 thickBot="1" x14ac:dyDescent="0.4">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 thickBot="1" x14ac:dyDescent="0.4">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 thickBot="1" x14ac:dyDescent="0.4">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 thickBot="1" x14ac:dyDescent="0.4">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 thickBot="1" x14ac:dyDescent="0.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 thickBot="1" x14ac:dyDescent="0.4">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 thickBot="1" x14ac:dyDescent="0.4">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 thickBot="1" x14ac:dyDescent="0.4">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 thickBot="1" x14ac:dyDescent="0.4">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 thickBot="1" x14ac:dyDescent="0.4">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 thickBot="1" x14ac:dyDescent="0.4">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 thickBot="1" x14ac:dyDescent="0.4">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 thickBot="1" x14ac:dyDescent="0.4">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 thickBot="1" x14ac:dyDescent="0.4">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 thickBot="1" x14ac:dyDescent="0.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 thickBot="1" x14ac:dyDescent="0.4">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 thickBot="1" x14ac:dyDescent="0.4">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 thickBot="1" x14ac:dyDescent="0.4">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 thickBot="1" x14ac:dyDescent="0.4">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 thickBot="1" x14ac:dyDescent="0.4">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 thickBot="1" x14ac:dyDescent="0.4">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 thickBot="1" x14ac:dyDescent="0.4">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 thickBot="1" x14ac:dyDescent="0.4">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 thickBot="1" x14ac:dyDescent="0.4">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 thickBot="1" x14ac:dyDescent="0.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 thickBot="1" x14ac:dyDescent="0.4">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 thickBot="1" x14ac:dyDescent="0.4">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 thickBot="1" x14ac:dyDescent="0.4">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 thickBot="1" x14ac:dyDescent="0.4">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 thickBot="1" x14ac:dyDescent="0.4">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 thickBot="1" x14ac:dyDescent="0.4">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 thickBot="1" x14ac:dyDescent="0.4">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 thickBot="1" x14ac:dyDescent="0.4">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 thickBot="1" x14ac:dyDescent="0.4">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 thickBot="1" x14ac:dyDescent="0.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 thickBot="1" x14ac:dyDescent="0.4">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 thickBot="1" x14ac:dyDescent="0.4">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 thickBot="1" x14ac:dyDescent="0.4">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 thickBot="1" x14ac:dyDescent="0.4">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 thickBot="1" x14ac:dyDescent="0.4">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 thickBot="1" x14ac:dyDescent="0.4">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 thickBot="1" x14ac:dyDescent="0.4">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 thickBot="1" x14ac:dyDescent="0.4">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 thickBot="1" x14ac:dyDescent="0.4">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 thickBot="1" x14ac:dyDescent="0.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 thickBot="1" x14ac:dyDescent="0.4">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 thickBot="1" x14ac:dyDescent="0.4">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 thickBot="1" x14ac:dyDescent="0.4">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 thickBot="1" x14ac:dyDescent="0.4">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 thickBot="1" x14ac:dyDescent="0.4">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 thickBot="1" x14ac:dyDescent="0.4">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 thickBot="1" x14ac:dyDescent="0.4">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 thickBot="1" x14ac:dyDescent="0.4">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 thickBot="1" x14ac:dyDescent="0.4">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 thickBot="1" x14ac:dyDescent="0.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 thickBot="1" x14ac:dyDescent="0.4">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 thickBot="1" x14ac:dyDescent="0.4">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 thickBot="1" x14ac:dyDescent="0.4">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 thickBot="1" x14ac:dyDescent="0.4">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 thickBot="1" x14ac:dyDescent="0.4">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 thickBot="1" x14ac:dyDescent="0.4">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 thickBot="1" x14ac:dyDescent="0.4">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 thickBot="1" x14ac:dyDescent="0.4">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 thickBot="1" x14ac:dyDescent="0.4">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 thickBot="1" x14ac:dyDescent="0.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 thickBot="1" x14ac:dyDescent="0.4">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 thickBot="1" x14ac:dyDescent="0.4">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 thickBot="1" x14ac:dyDescent="0.4">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 thickBot="1" x14ac:dyDescent="0.4">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 thickBot="1" x14ac:dyDescent="0.4">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 thickBot="1" x14ac:dyDescent="0.4">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 thickBot="1" x14ac:dyDescent="0.4">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 thickBot="1" x14ac:dyDescent="0.4">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 thickBot="1" x14ac:dyDescent="0.4">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 thickBot="1" x14ac:dyDescent="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 thickBot="1" x14ac:dyDescent="0.4">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 thickBot="1" x14ac:dyDescent="0.4">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 thickBot="1" x14ac:dyDescent="0.4">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 thickBot="1" x14ac:dyDescent="0.4">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 thickBot="1" x14ac:dyDescent="0.4">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 thickBot="1" x14ac:dyDescent="0.4">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 thickBot="1" x14ac:dyDescent="0.4">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 thickBot="1" x14ac:dyDescent="0.4">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 thickBot="1" x14ac:dyDescent="0.4">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 thickBot="1" x14ac:dyDescent="0.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 thickBot="1" x14ac:dyDescent="0.4">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 thickBot="1" x14ac:dyDescent="0.4">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 thickBot="1" x14ac:dyDescent="0.4">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 thickBot="1" x14ac:dyDescent="0.4">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 thickBot="1" x14ac:dyDescent="0.4">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 thickBot="1" x14ac:dyDescent="0.4">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 thickBot="1" x14ac:dyDescent="0.4">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 thickBot="1" x14ac:dyDescent="0.4">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 thickBot="1" x14ac:dyDescent="0.4">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 thickBot="1" x14ac:dyDescent="0.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 thickBot="1" x14ac:dyDescent="0.4">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 thickBot="1" x14ac:dyDescent="0.4">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 thickBot="1" x14ac:dyDescent="0.4">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 thickBot="1" x14ac:dyDescent="0.4">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 thickBot="1" x14ac:dyDescent="0.4">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 thickBot="1" x14ac:dyDescent="0.4">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 thickBot="1" x14ac:dyDescent="0.4">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 thickBot="1" x14ac:dyDescent="0.4">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 thickBot="1" x14ac:dyDescent="0.4">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 thickBot="1" x14ac:dyDescent="0.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 thickBot="1" x14ac:dyDescent="0.4">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 thickBot="1" x14ac:dyDescent="0.4">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 thickBot="1" x14ac:dyDescent="0.4">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 thickBot="1" x14ac:dyDescent="0.4">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 thickBot="1" x14ac:dyDescent="0.4">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 thickBot="1" x14ac:dyDescent="0.4">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 thickBot="1" x14ac:dyDescent="0.4">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 thickBot="1" x14ac:dyDescent="0.4">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 thickBot="1" x14ac:dyDescent="0.4">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 thickBot="1" x14ac:dyDescent="0.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 thickBot="1" x14ac:dyDescent="0.4">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 thickBot="1" x14ac:dyDescent="0.4">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 thickBot="1" x14ac:dyDescent="0.4">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 thickBot="1" x14ac:dyDescent="0.4">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 thickBot="1" x14ac:dyDescent="0.4">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 thickBot="1" x14ac:dyDescent="0.4">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 thickBot="1" x14ac:dyDescent="0.4">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 thickBot="1" x14ac:dyDescent="0.4">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 thickBot="1" x14ac:dyDescent="0.4">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 thickBot="1" x14ac:dyDescent="0.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 thickBot="1" x14ac:dyDescent="0.4">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 thickBot="1" x14ac:dyDescent="0.4">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 thickBot="1" x14ac:dyDescent="0.4">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 thickBot="1" x14ac:dyDescent="0.4">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 thickBot="1" x14ac:dyDescent="0.4">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 thickBot="1" x14ac:dyDescent="0.4">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 thickBot="1" x14ac:dyDescent="0.4">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 thickBot="1" x14ac:dyDescent="0.4">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 thickBot="1" x14ac:dyDescent="0.4">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 thickBot="1" x14ac:dyDescent="0.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 thickBot="1" x14ac:dyDescent="0.4">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 thickBot="1" x14ac:dyDescent="0.4">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 thickBot="1" x14ac:dyDescent="0.4">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 thickBot="1" x14ac:dyDescent="0.4">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 thickBot="1" x14ac:dyDescent="0.4">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 thickBot="1" x14ac:dyDescent="0.4">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 thickBot="1" x14ac:dyDescent="0.4">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 thickBot="1" x14ac:dyDescent="0.4">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 thickBot="1" x14ac:dyDescent="0.4">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 thickBot="1" x14ac:dyDescent="0.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 thickBot="1" x14ac:dyDescent="0.4">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 thickBot="1" x14ac:dyDescent="0.4">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 thickBot="1" x14ac:dyDescent="0.4">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 thickBot="1" x14ac:dyDescent="0.4">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 thickBot="1" x14ac:dyDescent="0.4">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 thickBot="1" x14ac:dyDescent="0.4">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 thickBot="1" x14ac:dyDescent="0.4">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 thickBot="1" x14ac:dyDescent="0.4">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 thickBot="1" x14ac:dyDescent="0.4">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 thickBot="1" x14ac:dyDescent="0.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 thickBot="1" x14ac:dyDescent="0.4">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 thickBot="1" x14ac:dyDescent="0.4">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 thickBot="1" x14ac:dyDescent="0.4">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 thickBot="1" x14ac:dyDescent="0.4">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 thickBot="1" x14ac:dyDescent="0.4">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 thickBot="1" x14ac:dyDescent="0.4">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 thickBot="1" x14ac:dyDescent="0.4">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 thickBot="1" x14ac:dyDescent="0.4">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 thickBot="1" x14ac:dyDescent="0.4">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 thickBot="1" x14ac:dyDescent="0.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 thickBot="1" x14ac:dyDescent="0.4">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 thickBot="1" x14ac:dyDescent="0.4">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 thickBot="1" x14ac:dyDescent="0.4">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 thickBot="1" x14ac:dyDescent="0.4">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 thickBot="1" x14ac:dyDescent="0.4">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 thickBot="1" x14ac:dyDescent="0.4">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 thickBot="1" x14ac:dyDescent="0.4">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 thickBot="1" x14ac:dyDescent="0.4">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 thickBot="1" x14ac:dyDescent="0.4">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 thickBot="1" x14ac:dyDescent="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 thickBot="1" x14ac:dyDescent="0.4">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 thickBot="1" x14ac:dyDescent="0.4">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 thickBot="1" x14ac:dyDescent="0.4">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 thickBot="1" x14ac:dyDescent="0.4">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 thickBot="1" x14ac:dyDescent="0.4">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 thickBot="1" x14ac:dyDescent="0.4">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 thickBot="1" x14ac:dyDescent="0.4">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 thickBot="1" x14ac:dyDescent="0.4">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 thickBot="1" x14ac:dyDescent="0.4">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 thickBot="1" x14ac:dyDescent="0.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 thickBot="1" x14ac:dyDescent="0.4">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 thickBot="1" x14ac:dyDescent="0.4">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 thickBot="1" x14ac:dyDescent="0.4">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 thickBot="1" x14ac:dyDescent="0.4">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 thickBot="1" x14ac:dyDescent="0.4">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 thickBot="1" x14ac:dyDescent="0.4">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 thickBot="1" x14ac:dyDescent="0.4">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 thickBot="1" x14ac:dyDescent="0.4">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 thickBot="1" x14ac:dyDescent="0.4">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 thickBot="1" x14ac:dyDescent="0.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 thickBot="1" x14ac:dyDescent="0.4">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 thickBot="1" x14ac:dyDescent="0.4">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 thickBot="1" x14ac:dyDescent="0.4">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 thickBot="1" x14ac:dyDescent="0.4">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 thickBot="1" x14ac:dyDescent="0.4">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 thickBot="1" x14ac:dyDescent="0.4">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 thickBot="1" x14ac:dyDescent="0.4">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 thickBot="1" x14ac:dyDescent="0.4">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 thickBot="1" x14ac:dyDescent="0.4">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 thickBot="1" x14ac:dyDescent="0.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 thickBot="1" x14ac:dyDescent="0.4">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 thickBot="1" x14ac:dyDescent="0.4">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 thickBot="1" x14ac:dyDescent="0.4">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 thickBot="1" x14ac:dyDescent="0.4">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 thickBot="1" x14ac:dyDescent="0.4">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 thickBot="1" x14ac:dyDescent="0.4">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 thickBot="1" x14ac:dyDescent="0.4">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 thickBot="1" x14ac:dyDescent="0.4">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 thickBot="1" x14ac:dyDescent="0.4">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 thickBot="1" x14ac:dyDescent="0.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 thickBot="1" x14ac:dyDescent="0.4">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 thickBot="1" x14ac:dyDescent="0.4">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 thickBot="1" x14ac:dyDescent="0.4">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 thickBot="1" x14ac:dyDescent="0.4">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 thickBot="1" x14ac:dyDescent="0.4">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 thickBot="1" x14ac:dyDescent="0.4">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 thickBot="1" x14ac:dyDescent="0.4">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 thickBot="1" x14ac:dyDescent="0.4">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 thickBot="1" x14ac:dyDescent="0.4">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 thickBot="1" x14ac:dyDescent="0.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 thickBot="1" x14ac:dyDescent="0.4">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 thickBot="1" x14ac:dyDescent="0.4">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 thickBot="1" x14ac:dyDescent="0.4">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 thickBot="1" x14ac:dyDescent="0.4">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 thickBot="1" x14ac:dyDescent="0.4">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 thickBot="1" x14ac:dyDescent="0.4">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 thickBot="1" x14ac:dyDescent="0.4">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 thickBot="1" x14ac:dyDescent="0.4">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 thickBot="1" x14ac:dyDescent="0.4">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 thickBot="1" x14ac:dyDescent="0.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 thickBot="1" x14ac:dyDescent="0.4">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 thickBot="1" x14ac:dyDescent="0.4">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 thickBot="1" x14ac:dyDescent="0.4">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 thickBot="1" x14ac:dyDescent="0.4">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 thickBot="1" x14ac:dyDescent="0.4">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 thickBot="1" x14ac:dyDescent="0.4">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 thickBot="1" x14ac:dyDescent="0.4">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 thickBot="1" x14ac:dyDescent="0.4">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 thickBot="1" x14ac:dyDescent="0.4">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 thickBot="1" x14ac:dyDescent="0.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 thickBot="1" x14ac:dyDescent="0.4">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 thickBot="1" x14ac:dyDescent="0.4">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 thickBot="1" x14ac:dyDescent="0.4">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 thickBot="1" x14ac:dyDescent="0.4">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 thickBot="1" x14ac:dyDescent="0.4">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 thickBot="1" x14ac:dyDescent="0.4">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 thickBot="1" x14ac:dyDescent="0.4">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 thickBot="1" x14ac:dyDescent="0.4">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 thickBot="1" x14ac:dyDescent="0.4">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 thickBot="1" x14ac:dyDescent="0.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 thickBot="1" x14ac:dyDescent="0.4">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 thickBot="1" x14ac:dyDescent="0.4">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 thickBot="1" x14ac:dyDescent="0.4">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 thickBot="1" x14ac:dyDescent="0.4">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 thickBot="1" x14ac:dyDescent="0.4">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 thickBot="1" x14ac:dyDescent="0.4">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 thickBot="1" x14ac:dyDescent="0.4">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 thickBot="1" x14ac:dyDescent="0.4">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 thickBot="1" x14ac:dyDescent="0.4">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 thickBot="1" x14ac:dyDescent="0.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 thickBot="1" x14ac:dyDescent="0.4">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 thickBot="1" x14ac:dyDescent="0.4">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 thickBot="1" x14ac:dyDescent="0.4">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 thickBot="1" x14ac:dyDescent="0.4">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 thickBot="1" x14ac:dyDescent="0.4">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 thickBot="1" x14ac:dyDescent="0.4">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 thickBot="1" x14ac:dyDescent="0.4">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 thickBot="1" x14ac:dyDescent="0.4">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 thickBot="1" x14ac:dyDescent="0.4">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 thickBot="1" x14ac:dyDescent="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 thickBot="1" x14ac:dyDescent="0.4">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 thickBot="1" x14ac:dyDescent="0.4">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 thickBot="1" x14ac:dyDescent="0.4">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 thickBot="1" x14ac:dyDescent="0.4">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 thickBot="1" x14ac:dyDescent="0.4">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 thickBot="1" x14ac:dyDescent="0.4">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 thickBot="1" x14ac:dyDescent="0.4">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 thickBot="1" x14ac:dyDescent="0.4">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 thickBot="1" x14ac:dyDescent="0.4">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 thickBot="1" x14ac:dyDescent="0.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 thickBot="1" x14ac:dyDescent="0.4">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 thickBot="1" x14ac:dyDescent="0.4">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 thickBot="1" x14ac:dyDescent="0.4">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 thickBot="1" x14ac:dyDescent="0.4">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 thickBot="1" x14ac:dyDescent="0.4">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 thickBot="1" x14ac:dyDescent="0.4">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 thickBot="1" x14ac:dyDescent="0.4">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 thickBot="1" x14ac:dyDescent="0.4">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 thickBot="1" x14ac:dyDescent="0.4">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 thickBot="1" x14ac:dyDescent="0.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 thickBot="1" x14ac:dyDescent="0.4">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 thickBot="1" x14ac:dyDescent="0.4">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 thickBot="1" x14ac:dyDescent="0.4">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 thickBot="1" x14ac:dyDescent="0.4">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 thickBot="1" x14ac:dyDescent="0.4">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 thickBot="1" x14ac:dyDescent="0.4">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 thickBot="1" x14ac:dyDescent="0.4">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 thickBot="1" x14ac:dyDescent="0.4">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 thickBot="1" x14ac:dyDescent="0.4">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 thickBot="1" x14ac:dyDescent="0.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 thickBot="1" x14ac:dyDescent="0.4">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 thickBot="1" x14ac:dyDescent="0.4">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 thickBot="1" x14ac:dyDescent="0.4">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 thickBot="1" x14ac:dyDescent="0.4">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 thickBot="1" x14ac:dyDescent="0.4">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 thickBot="1" x14ac:dyDescent="0.4">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 thickBot="1" x14ac:dyDescent="0.4">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 thickBot="1" x14ac:dyDescent="0.4">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 thickBot="1" x14ac:dyDescent="0.4">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 thickBot="1" x14ac:dyDescent="0.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 thickBot="1" x14ac:dyDescent="0.4">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 thickBot="1" x14ac:dyDescent="0.4">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 thickBot="1" x14ac:dyDescent="0.4">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 thickBot="1" x14ac:dyDescent="0.4">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 thickBot="1" x14ac:dyDescent="0.4">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 thickBot="1" x14ac:dyDescent="0.4">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 thickBot="1" x14ac:dyDescent="0.4">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 thickBot="1" x14ac:dyDescent="0.4">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 thickBot="1" x14ac:dyDescent="0.4">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 thickBot="1" x14ac:dyDescent="0.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 thickBot="1" x14ac:dyDescent="0.4">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 thickBot="1" x14ac:dyDescent="0.4">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 thickBot="1" x14ac:dyDescent="0.4">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 thickBot="1" x14ac:dyDescent="0.4">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 thickBot="1" x14ac:dyDescent="0.4">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 thickBot="1" x14ac:dyDescent="0.4">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 thickBot="1" x14ac:dyDescent="0.4">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 thickBot="1" x14ac:dyDescent="0.4">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 thickBot="1" x14ac:dyDescent="0.4">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 thickBot="1" x14ac:dyDescent="0.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 thickBot="1" x14ac:dyDescent="0.4">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 thickBot="1" x14ac:dyDescent="0.4">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 thickBot="1" x14ac:dyDescent="0.4">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 thickBot="1" x14ac:dyDescent="0.4">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 thickBot="1" x14ac:dyDescent="0.4">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 thickBot="1" x14ac:dyDescent="0.4">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 thickBot="1" x14ac:dyDescent="0.4">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 thickBot="1" x14ac:dyDescent="0.4">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 thickBot="1" x14ac:dyDescent="0.4">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 thickBot="1" x14ac:dyDescent="0.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 thickBot="1" x14ac:dyDescent="0.4">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 thickBot="1" x14ac:dyDescent="0.4">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 thickBot="1" x14ac:dyDescent="0.4">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 thickBot="1" x14ac:dyDescent="0.4">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 thickBot="1" x14ac:dyDescent="0.4">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 thickBot="1" x14ac:dyDescent="0.4">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 thickBot="1" x14ac:dyDescent="0.4">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 thickBot="1" x14ac:dyDescent="0.4">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 thickBot="1" x14ac:dyDescent="0.4">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 thickBot="1" x14ac:dyDescent="0.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 thickBot="1" x14ac:dyDescent="0.4">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 thickBot="1" x14ac:dyDescent="0.4">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 thickBot="1" x14ac:dyDescent="0.4">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 thickBot="1" x14ac:dyDescent="0.4">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 thickBot="1" x14ac:dyDescent="0.4">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 thickBot="1" x14ac:dyDescent="0.4">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 thickBot="1" x14ac:dyDescent="0.4">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 thickBot="1" x14ac:dyDescent="0.4">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 thickBot="1" x14ac:dyDescent="0.4">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 thickBot="1" x14ac:dyDescent="0.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 thickBot="1" x14ac:dyDescent="0.4">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 thickBot="1" x14ac:dyDescent="0.4">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 thickBot="1" x14ac:dyDescent="0.4">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 thickBot="1" x14ac:dyDescent="0.4">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 thickBot="1" x14ac:dyDescent="0.4">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 thickBot="1" x14ac:dyDescent="0.4">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conditionalFormatting sqref="J1:J1048576">
    <cfRule type="top10" dxfId="2" priority="1" rank="10"/>
  </conditionalFormatting>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1DDE2-1B64-483D-9B1F-B69476BA6533}">
  <dimension ref="A1:N202"/>
  <sheetViews>
    <sheetView topLeftCell="A184" workbookViewId="0">
      <selection sqref="A1:I201"/>
    </sheetView>
  </sheetViews>
  <sheetFormatPr defaultRowHeight="14.5" x14ac:dyDescent="0.35"/>
  <cols>
    <col min="1" max="1" width="12.26953125" customWidth="1"/>
    <col min="2" max="2" width="15.81640625" customWidth="1"/>
    <col min="3" max="3" width="9.6328125" customWidth="1"/>
    <col min="4" max="4" width="16.08984375" customWidth="1"/>
    <col min="6" max="6" width="9.08984375" customWidth="1"/>
    <col min="7" max="7" width="9.6328125" customWidth="1"/>
    <col min="8" max="8" width="12.453125" customWidth="1"/>
    <col min="9" max="9" width="11.08984375" customWidth="1"/>
    <col min="11" max="11" width="8.7265625" customWidth="1"/>
    <col min="12" max="12" width="10.81640625" customWidth="1"/>
    <col min="13" max="13" width="10.54296875" customWidth="1"/>
  </cols>
  <sheetData>
    <row r="1" spans="1:14" ht="16.5" customHeight="1" thickBot="1" x14ac:dyDescent="0.4">
      <c r="A1" s="16" t="s">
        <v>0</v>
      </c>
      <c r="B1" s="16" t="s">
        <v>1</v>
      </c>
      <c r="C1" s="16" t="s">
        <v>2</v>
      </c>
      <c r="D1" s="16" t="s">
        <v>3</v>
      </c>
      <c r="E1" s="16" t="s">
        <v>4</v>
      </c>
      <c r="F1" s="16" t="s">
        <v>5</v>
      </c>
      <c r="G1" s="16" t="s">
        <v>6</v>
      </c>
      <c r="H1" s="16" t="s">
        <v>7</v>
      </c>
      <c r="I1" s="16" t="s">
        <v>8</v>
      </c>
      <c r="L1" s="17"/>
      <c r="M1" s="17"/>
    </row>
    <row r="2" spans="1:14" ht="16.5" customHeight="1" thickBot="1" x14ac:dyDescent="0.4">
      <c r="A2" s="1" t="s">
        <v>9</v>
      </c>
      <c r="B2" s="1" t="s">
        <v>10</v>
      </c>
      <c r="C2" s="1" t="s">
        <v>11</v>
      </c>
      <c r="D2" s="1" t="s">
        <v>12</v>
      </c>
      <c r="E2" s="2">
        <v>1036.0899999999999</v>
      </c>
      <c r="F2" s="2">
        <v>4</v>
      </c>
      <c r="G2" s="2">
        <v>0.2</v>
      </c>
      <c r="H2" s="3">
        <v>45392</v>
      </c>
      <c r="I2" s="2">
        <v>331.55</v>
      </c>
      <c r="K2" s="20"/>
      <c r="L2" s="14"/>
      <c r="M2" s="21"/>
    </row>
    <row r="3" spans="1:14" ht="16.5" customHeight="1" thickBot="1" x14ac:dyDescent="0.4">
      <c r="A3" s="1" t="s">
        <v>13</v>
      </c>
      <c r="B3" s="1" t="s">
        <v>14</v>
      </c>
      <c r="C3" s="1" t="s">
        <v>11</v>
      </c>
      <c r="D3" s="1" t="s">
        <v>15</v>
      </c>
      <c r="E3" s="2">
        <v>1101.28</v>
      </c>
      <c r="F3" s="2">
        <v>3</v>
      </c>
      <c r="G3" s="2">
        <v>0.2</v>
      </c>
      <c r="H3" s="3">
        <v>45393</v>
      </c>
      <c r="I3" s="2">
        <v>440.51</v>
      </c>
      <c r="L3" s="26" t="s">
        <v>6</v>
      </c>
      <c r="M3" s="26" t="s">
        <v>8</v>
      </c>
    </row>
    <row r="4" spans="1:14" ht="16.5" customHeight="1" thickBot="1" x14ac:dyDescent="0.4">
      <c r="A4" s="1" t="s">
        <v>16</v>
      </c>
      <c r="B4" s="1" t="s">
        <v>17</v>
      </c>
      <c r="C4" s="1" t="s">
        <v>18</v>
      </c>
      <c r="D4" s="1" t="s">
        <v>12</v>
      </c>
      <c r="E4" s="2">
        <v>713.34</v>
      </c>
      <c r="F4" s="2">
        <v>17</v>
      </c>
      <c r="G4" s="2">
        <v>0</v>
      </c>
      <c r="H4" s="3">
        <v>45396</v>
      </c>
      <c r="I4" s="2">
        <v>285.33999999999997</v>
      </c>
      <c r="L4" s="27">
        <v>0.1</v>
      </c>
      <c r="M4" s="24">
        <f>I202-I202*L4</f>
        <v>61458.309000000008</v>
      </c>
    </row>
    <row r="5" spans="1:14" ht="16.5" customHeight="1" thickBot="1" x14ac:dyDescent="0.4">
      <c r="A5" s="1" t="s">
        <v>19</v>
      </c>
      <c r="B5" s="1" t="s">
        <v>14</v>
      </c>
      <c r="C5" s="1" t="s">
        <v>20</v>
      </c>
      <c r="D5" s="1" t="s">
        <v>21</v>
      </c>
      <c r="E5" s="2">
        <v>760.93</v>
      </c>
      <c r="F5" s="2">
        <v>4</v>
      </c>
      <c r="G5" s="2">
        <v>0.15</v>
      </c>
      <c r="H5" s="3">
        <v>45396</v>
      </c>
      <c r="I5" s="2">
        <v>161.69999999999999</v>
      </c>
      <c r="L5" s="28"/>
      <c r="M5" s="24">
        <f>M4</f>
        <v>61458.309000000008</v>
      </c>
    </row>
    <row r="6" spans="1:14" ht="16.5" customHeight="1" thickBot="1" x14ac:dyDescent="0.4">
      <c r="A6" s="1" t="s">
        <v>22</v>
      </c>
      <c r="B6" s="1" t="s">
        <v>23</v>
      </c>
      <c r="C6" s="1" t="s">
        <v>24</v>
      </c>
      <c r="D6" s="1" t="s">
        <v>12</v>
      </c>
      <c r="E6" s="2">
        <v>847</v>
      </c>
      <c r="F6" s="2">
        <v>12</v>
      </c>
      <c r="G6" s="2">
        <v>0.2</v>
      </c>
      <c r="H6" s="3">
        <v>45397</v>
      </c>
      <c r="I6" s="2">
        <v>271.04000000000002</v>
      </c>
      <c r="L6" s="23">
        <v>0</v>
      </c>
      <c r="M6" s="24">
        <f t="dataTable" ref="M6:M12" dt2D="0" dtr="0" r1="L4"/>
        <v>68287.010000000009</v>
      </c>
      <c r="N6" s="21"/>
    </row>
    <row r="7" spans="1:14" ht="16.5" customHeight="1" thickBot="1" x14ac:dyDescent="0.4">
      <c r="A7" s="1" t="s">
        <v>25</v>
      </c>
      <c r="B7" s="1" t="s">
        <v>26</v>
      </c>
      <c r="C7" s="1" t="s">
        <v>24</v>
      </c>
      <c r="D7" s="1" t="s">
        <v>27</v>
      </c>
      <c r="E7" s="2">
        <v>965.64</v>
      </c>
      <c r="F7" s="2">
        <v>8</v>
      </c>
      <c r="G7" s="2">
        <v>0.1</v>
      </c>
      <c r="H7" s="3">
        <v>45398</v>
      </c>
      <c r="I7" s="2">
        <v>304.18</v>
      </c>
      <c r="L7" s="25">
        <v>0.05</v>
      </c>
      <c r="M7" s="24">
        <v>64872.659500000009</v>
      </c>
    </row>
    <row r="8" spans="1:14" ht="16.5" customHeight="1" thickBot="1" x14ac:dyDescent="0.4">
      <c r="A8" s="1" t="s">
        <v>28</v>
      </c>
      <c r="B8" s="1" t="s">
        <v>29</v>
      </c>
      <c r="C8" s="1" t="s">
        <v>11</v>
      </c>
      <c r="D8" s="1" t="s">
        <v>21</v>
      </c>
      <c r="E8" s="2">
        <v>1317.53</v>
      </c>
      <c r="F8" s="2">
        <v>12</v>
      </c>
      <c r="G8" s="2">
        <v>0.05</v>
      </c>
      <c r="H8" s="3">
        <v>45398</v>
      </c>
      <c r="I8" s="2">
        <v>312.91000000000003</v>
      </c>
      <c r="L8" s="25">
        <v>0.1</v>
      </c>
      <c r="M8" s="24">
        <v>61458.309000000008</v>
      </c>
    </row>
    <row r="9" spans="1:14" ht="16.5" customHeight="1" thickBot="1" x14ac:dyDescent="0.4">
      <c r="A9" s="1" t="s">
        <v>30</v>
      </c>
      <c r="B9" s="1" t="s">
        <v>31</v>
      </c>
      <c r="C9" s="1" t="s">
        <v>18</v>
      </c>
      <c r="D9" s="1" t="s">
        <v>27</v>
      </c>
      <c r="E9" s="2">
        <v>1074.47</v>
      </c>
      <c r="F9" s="2">
        <v>6</v>
      </c>
      <c r="G9" s="2">
        <v>0.2</v>
      </c>
      <c r="H9" s="3">
        <v>45401</v>
      </c>
      <c r="I9" s="2">
        <v>300.85000000000002</v>
      </c>
      <c r="L9" s="25">
        <v>0.15</v>
      </c>
      <c r="M9" s="24">
        <v>58043.958500000008</v>
      </c>
    </row>
    <row r="10" spans="1:14" ht="16.5" customHeight="1" thickBot="1" x14ac:dyDescent="0.4">
      <c r="A10" s="1" t="s">
        <v>32</v>
      </c>
      <c r="B10" s="1" t="s">
        <v>33</v>
      </c>
      <c r="C10" s="1" t="s">
        <v>34</v>
      </c>
      <c r="D10" s="1" t="s">
        <v>12</v>
      </c>
      <c r="E10" s="2">
        <v>501.54</v>
      </c>
      <c r="F10" s="2">
        <v>11</v>
      </c>
      <c r="G10" s="2">
        <v>0.05</v>
      </c>
      <c r="H10" s="3">
        <v>45401</v>
      </c>
      <c r="I10" s="2">
        <v>190.59</v>
      </c>
      <c r="L10" s="25">
        <v>0.2</v>
      </c>
      <c r="M10" s="24">
        <v>54629.608000000007</v>
      </c>
    </row>
    <row r="11" spans="1:14" ht="16.5" customHeight="1" thickBot="1" x14ac:dyDescent="0.4">
      <c r="A11" s="1" t="s">
        <v>35</v>
      </c>
      <c r="B11" s="1" t="s">
        <v>36</v>
      </c>
      <c r="C11" s="1" t="s">
        <v>34</v>
      </c>
      <c r="D11" s="1" t="s">
        <v>15</v>
      </c>
      <c r="E11" s="2">
        <v>737.31</v>
      </c>
      <c r="F11" s="2">
        <v>2</v>
      </c>
      <c r="G11" s="2">
        <v>0.05</v>
      </c>
      <c r="H11" s="3">
        <v>45401</v>
      </c>
      <c r="I11" s="2">
        <v>350.22</v>
      </c>
      <c r="L11" s="25">
        <v>0.25</v>
      </c>
      <c r="M11" s="24">
        <v>51215.257500000007</v>
      </c>
    </row>
    <row r="12" spans="1:14" ht="16.5" customHeight="1" thickBot="1" x14ac:dyDescent="0.4">
      <c r="A12" s="1" t="s">
        <v>37</v>
      </c>
      <c r="B12" s="1" t="s">
        <v>38</v>
      </c>
      <c r="C12" s="1" t="s">
        <v>11</v>
      </c>
      <c r="D12" s="1" t="s">
        <v>39</v>
      </c>
      <c r="E12" s="2">
        <v>1572.82</v>
      </c>
      <c r="F12" s="2">
        <v>6</v>
      </c>
      <c r="G12" s="2">
        <v>0.05</v>
      </c>
      <c r="H12" s="3">
        <v>45402</v>
      </c>
      <c r="I12" s="2">
        <v>672.38</v>
      </c>
      <c r="L12" s="25">
        <v>0.3</v>
      </c>
      <c r="M12" s="24">
        <v>47800.907000000007</v>
      </c>
    </row>
    <row r="13" spans="1:14" ht="16.5" customHeight="1" thickBot="1" x14ac:dyDescent="0.4">
      <c r="A13" s="1" t="s">
        <v>37</v>
      </c>
      <c r="B13" s="1" t="s">
        <v>36</v>
      </c>
      <c r="C13" s="1" t="s">
        <v>34</v>
      </c>
      <c r="D13" s="1" t="s">
        <v>12</v>
      </c>
      <c r="E13" s="2">
        <v>1343.13</v>
      </c>
      <c r="F13" s="2">
        <v>14</v>
      </c>
      <c r="G13" s="2">
        <v>0.15</v>
      </c>
      <c r="H13" s="3">
        <v>45404</v>
      </c>
      <c r="I13" s="2">
        <v>456.66</v>
      </c>
    </row>
    <row r="14" spans="1:14" ht="16.5" customHeight="1" thickBot="1" x14ac:dyDescent="0.4">
      <c r="A14" s="1" t="s">
        <v>25</v>
      </c>
      <c r="B14" s="1" t="s">
        <v>26</v>
      </c>
      <c r="C14" s="1" t="s">
        <v>34</v>
      </c>
      <c r="D14" s="1" t="s">
        <v>12</v>
      </c>
      <c r="E14" s="2">
        <v>1191.58</v>
      </c>
      <c r="F14" s="2">
        <v>14</v>
      </c>
      <c r="G14" s="2">
        <v>0.05</v>
      </c>
      <c r="H14" s="3">
        <v>45406</v>
      </c>
      <c r="I14" s="2">
        <v>452.8</v>
      </c>
    </row>
    <row r="15" spans="1:14" ht="16.5" customHeight="1" thickBot="1" x14ac:dyDescent="0.4">
      <c r="A15" s="1" t="s">
        <v>40</v>
      </c>
      <c r="B15" s="1" t="s">
        <v>14</v>
      </c>
      <c r="C15" s="1" t="s">
        <v>11</v>
      </c>
      <c r="D15" s="1" t="s">
        <v>27</v>
      </c>
      <c r="E15" s="2">
        <v>822.28</v>
      </c>
      <c r="F15" s="2">
        <v>7</v>
      </c>
      <c r="G15" s="2">
        <v>0.05</v>
      </c>
      <c r="H15" s="3">
        <v>45406</v>
      </c>
      <c r="I15" s="2">
        <v>273.41000000000003</v>
      </c>
    </row>
    <row r="16" spans="1:14" ht="16.5" customHeight="1" thickBot="1" x14ac:dyDescent="0.4">
      <c r="A16" s="1" t="s">
        <v>41</v>
      </c>
      <c r="B16" s="1" t="s">
        <v>42</v>
      </c>
      <c r="C16" s="1" t="s">
        <v>24</v>
      </c>
      <c r="D16" s="1" t="s">
        <v>27</v>
      </c>
      <c r="E16" s="2">
        <v>521.66999999999996</v>
      </c>
      <c r="F16" s="2">
        <v>15</v>
      </c>
      <c r="G16" s="2">
        <v>0.15</v>
      </c>
      <c r="H16" s="3">
        <v>45409</v>
      </c>
      <c r="I16" s="2">
        <v>155.19999999999999</v>
      </c>
    </row>
    <row r="17" spans="1:9" ht="16.5" customHeight="1" thickBot="1" x14ac:dyDescent="0.4">
      <c r="A17" s="1" t="s">
        <v>19</v>
      </c>
      <c r="B17" s="1" t="s">
        <v>43</v>
      </c>
      <c r="C17" s="1" t="s">
        <v>20</v>
      </c>
      <c r="D17" s="1" t="s">
        <v>21</v>
      </c>
      <c r="E17" s="2">
        <v>1502.93</v>
      </c>
      <c r="F17" s="2">
        <v>14</v>
      </c>
      <c r="G17" s="2">
        <v>0.2</v>
      </c>
      <c r="H17" s="3">
        <v>45410</v>
      </c>
      <c r="I17" s="2">
        <v>300.58999999999997</v>
      </c>
    </row>
    <row r="18" spans="1:9" ht="16.5" customHeight="1" thickBot="1" x14ac:dyDescent="0.4">
      <c r="A18" s="1" t="s">
        <v>44</v>
      </c>
      <c r="B18" s="1" t="s">
        <v>14</v>
      </c>
      <c r="C18" s="1" t="s">
        <v>20</v>
      </c>
      <c r="D18" s="1" t="s">
        <v>12</v>
      </c>
      <c r="E18" s="2">
        <v>877.58</v>
      </c>
      <c r="F18" s="2">
        <v>10</v>
      </c>
      <c r="G18" s="2">
        <v>0.15</v>
      </c>
      <c r="H18" s="3">
        <v>45411</v>
      </c>
      <c r="I18" s="2">
        <v>298.38</v>
      </c>
    </row>
    <row r="19" spans="1:9" ht="16.5" customHeight="1" thickBot="1" x14ac:dyDescent="0.4">
      <c r="A19" s="1" t="s">
        <v>28</v>
      </c>
      <c r="B19" s="1" t="s">
        <v>45</v>
      </c>
      <c r="C19" s="1" t="s">
        <v>11</v>
      </c>
      <c r="D19" s="1" t="s">
        <v>12</v>
      </c>
      <c r="E19" s="2">
        <v>636.70000000000005</v>
      </c>
      <c r="F19" s="2">
        <v>4</v>
      </c>
      <c r="G19" s="2">
        <v>0.2</v>
      </c>
      <c r="H19" s="3">
        <v>45411</v>
      </c>
      <c r="I19" s="2">
        <v>203.74</v>
      </c>
    </row>
    <row r="20" spans="1:9" ht="16.5" customHeight="1" thickBot="1" x14ac:dyDescent="0.4">
      <c r="A20" s="1" t="s">
        <v>46</v>
      </c>
      <c r="B20" s="1" t="s">
        <v>47</v>
      </c>
      <c r="C20" s="1" t="s">
        <v>11</v>
      </c>
      <c r="D20" s="1" t="s">
        <v>12</v>
      </c>
      <c r="E20" s="2">
        <v>1506.14</v>
      </c>
      <c r="F20" s="2">
        <v>13</v>
      </c>
      <c r="G20" s="2">
        <v>0.2</v>
      </c>
      <c r="H20" s="3">
        <v>45412</v>
      </c>
      <c r="I20" s="2">
        <v>481.96</v>
      </c>
    </row>
    <row r="21" spans="1:9" ht="16.5" customHeight="1" thickBot="1" x14ac:dyDescent="0.4">
      <c r="A21" s="1" t="s">
        <v>30</v>
      </c>
      <c r="B21" s="1" t="s">
        <v>31</v>
      </c>
      <c r="C21" s="1" t="s">
        <v>34</v>
      </c>
      <c r="D21" s="1" t="s">
        <v>21</v>
      </c>
      <c r="E21" s="2">
        <v>645.02</v>
      </c>
      <c r="F21" s="2">
        <v>4</v>
      </c>
      <c r="G21" s="2">
        <v>0</v>
      </c>
      <c r="H21" s="3">
        <v>45414</v>
      </c>
      <c r="I21" s="2">
        <v>161.26</v>
      </c>
    </row>
    <row r="22" spans="1:9" ht="16.5" customHeight="1" thickBot="1" x14ac:dyDescent="0.4">
      <c r="A22" s="1" t="s">
        <v>25</v>
      </c>
      <c r="B22" s="1" t="s">
        <v>48</v>
      </c>
      <c r="C22" s="1" t="s">
        <v>20</v>
      </c>
      <c r="D22" s="1" t="s">
        <v>15</v>
      </c>
      <c r="E22" s="2">
        <v>953.3</v>
      </c>
      <c r="F22" s="2">
        <v>11</v>
      </c>
      <c r="G22" s="2">
        <v>0</v>
      </c>
      <c r="H22" s="3">
        <v>45415</v>
      </c>
      <c r="I22" s="2">
        <v>476.65</v>
      </c>
    </row>
    <row r="23" spans="1:9" ht="16.5" customHeight="1" thickBot="1" x14ac:dyDescent="0.4">
      <c r="A23" s="1" t="s">
        <v>49</v>
      </c>
      <c r="B23" s="1" t="s">
        <v>14</v>
      </c>
      <c r="C23" s="1" t="s">
        <v>24</v>
      </c>
      <c r="D23" s="1" t="s">
        <v>21</v>
      </c>
      <c r="E23" s="2">
        <v>388.56</v>
      </c>
      <c r="F23" s="2">
        <v>14</v>
      </c>
      <c r="G23" s="2">
        <v>0.15</v>
      </c>
      <c r="H23" s="3">
        <v>45416</v>
      </c>
      <c r="I23" s="2">
        <v>82.57</v>
      </c>
    </row>
    <row r="24" spans="1:9" ht="16.5" customHeight="1" thickBot="1" x14ac:dyDescent="0.4">
      <c r="A24" s="1" t="s">
        <v>9</v>
      </c>
      <c r="B24" s="1" t="s">
        <v>31</v>
      </c>
      <c r="C24" s="1" t="s">
        <v>11</v>
      </c>
      <c r="D24" s="1" t="s">
        <v>12</v>
      </c>
      <c r="E24" s="2">
        <v>743.17</v>
      </c>
      <c r="F24" s="2">
        <v>9</v>
      </c>
      <c r="G24" s="2">
        <v>0</v>
      </c>
      <c r="H24" s="3">
        <v>45416</v>
      </c>
      <c r="I24" s="2">
        <v>297.27</v>
      </c>
    </row>
    <row r="25" spans="1:9" ht="16.5" customHeight="1" thickBot="1" x14ac:dyDescent="0.4">
      <c r="A25" s="1" t="s">
        <v>40</v>
      </c>
      <c r="B25" s="1" t="s">
        <v>31</v>
      </c>
      <c r="C25" s="1" t="s">
        <v>34</v>
      </c>
      <c r="D25" s="1" t="s">
        <v>21</v>
      </c>
      <c r="E25" s="2">
        <v>706.37</v>
      </c>
      <c r="F25" s="2">
        <v>6</v>
      </c>
      <c r="G25" s="2">
        <v>0</v>
      </c>
      <c r="H25" s="3">
        <v>45416</v>
      </c>
      <c r="I25" s="2">
        <v>176.59</v>
      </c>
    </row>
    <row r="26" spans="1:9" ht="16.5" customHeight="1" thickBot="1" x14ac:dyDescent="0.4">
      <c r="A26" s="1" t="s">
        <v>13</v>
      </c>
      <c r="B26" s="1" t="s">
        <v>31</v>
      </c>
      <c r="C26" s="1" t="s">
        <v>34</v>
      </c>
      <c r="D26" s="1" t="s">
        <v>39</v>
      </c>
      <c r="E26" s="2">
        <v>925.31</v>
      </c>
      <c r="F26" s="2">
        <v>8</v>
      </c>
      <c r="G26" s="2">
        <v>0.1</v>
      </c>
      <c r="H26" s="3">
        <v>45418</v>
      </c>
      <c r="I26" s="2">
        <v>374.75</v>
      </c>
    </row>
    <row r="27" spans="1:9" ht="16.5" customHeight="1" thickBot="1" x14ac:dyDescent="0.4">
      <c r="A27" s="1" t="s">
        <v>35</v>
      </c>
      <c r="B27" s="1" t="s">
        <v>50</v>
      </c>
      <c r="C27" s="1" t="s">
        <v>20</v>
      </c>
      <c r="D27" s="1" t="s">
        <v>21</v>
      </c>
      <c r="E27" s="2">
        <v>1173.1199999999999</v>
      </c>
      <c r="F27" s="2">
        <v>18</v>
      </c>
      <c r="G27" s="2">
        <v>0</v>
      </c>
      <c r="H27" s="3">
        <v>45418</v>
      </c>
      <c r="I27" s="2">
        <v>293.27999999999997</v>
      </c>
    </row>
    <row r="28" spans="1:9" ht="16.5" customHeight="1" thickBot="1" x14ac:dyDescent="0.4">
      <c r="A28" s="1" t="s">
        <v>22</v>
      </c>
      <c r="B28" s="1" t="s">
        <v>51</v>
      </c>
      <c r="C28" s="1" t="s">
        <v>24</v>
      </c>
      <c r="D28" s="1" t="s">
        <v>27</v>
      </c>
      <c r="E28" s="2">
        <v>675.54</v>
      </c>
      <c r="F28" s="2">
        <v>17</v>
      </c>
      <c r="G28" s="2">
        <v>0</v>
      </c>
      <c r="H28" s="3">
        <v>45420</v>
      </c>
      <c r="I28" s="2">
        <v>236.44</v>
      </c>
    </row>
    <row r="29" spans="1:9" ht="16.5" customHeight="1" thickBot="1" x14ac:dyDescent="0.4">
      <c r="A29" s="1" t="s">
        <v>25</v>
      </c>
      <c r="B29" s="1" t="s">
        <v>14</v>
      </c>
      <c r="C29" s="1" t="s">
        <v>34</v>
      </c>
      <c r="D29" s="1" t="s">
        <v>12</v>
      </c>
      <c r="E29" s="2">
        <v>939.09</v>
      </c>
      <c r="F29" s="2">
        <v>2</v>
      </c>
      <c r="G29" s="2">
        <v>0.05</v>
      </c>
      <c r="H29" s="3">
        <v>45422</v>
      </c>
      <c r="I29" s="2">
        <v>356.85</v>
      </c>
    </row>
    <row r="30" spans="1:9" ht="16.5" customHeight="1" thickBot="1" x14ac:dyDescent="0.4">
      <c r="A30" s="1" t="s">
        <v>52</v>
      </c>
      <c r="B30" s="1" t="s">
        <v>53</v>
      </c>
      <c r="C30" s="1" t="s">
        <v>18</v>
      </c>
      <c r="D30" s="1" t="s">
        <v>39</v>
      </c>
      <c r="E30" s="2">
        <v>983.34</v>
      </c>
      <c r="F30" s="2">
        <v>19</v>
      </c>
      <c r="G30" s="2">
        <v>0.1</v>
      </c>
      <c r="H30" s="3">
        <v>45426</v>
      </c>
      <c r="I30" s="2">
        <v>398.25</v>
      </c>
    </row>
    <row r="31" spans="1:9" ht="16.5" customHeight="1" thickBot="1" x14ac:dyDescent="0.4">
      <c r="A31" s="1" t="s">
        <v>52</v>
      </c>
      <c r="B31" s="1" t="s">
        <v>23</v>
      </c>
      <c r="C31" s="1" t="s">
        <v>20</v>
      </c>
      <c r="D31" s="1" t="s">
        <v>21</v>
      </c>
      <c r="E31" s="2">
        <v>801.21</v>
      </c>
      <c r="F31" s="2">
        <v>3</v>
      </c>
      <c r="G31" s="2">
        <v>0.2</v>
      </c>
      <c r="H31" s="3">
        <v>45426</v>
      </c>
      <c r="I31" s="2">
        <v>160.24</v>
      </c>
    </row>
    <row r="32" spans="1:9" ht="16.5" customHeight="1" thickBot="1" x14ac:dyDescent="0.4">
      <c r="A32" s="1" t="s">
        <v>54</v>
      </c>
      <c r="B32" s="1" t="s">
        <v>55</v>
      </c>
      <c r="C32" s="1" t="s">
        <v>24</v>
      </c>
      <c r="D32" s="1" t="s">
        <v>21</v>
      </c>
      <c r="E32" s="2">
        <v>1450.71</v>
      </c>
      <c r="F32" s="2">
        <v>5</v>
      </c>
      <c r="G32" s="2">
        <v>0.1</v>
      </c>
      <c r="H32" s="3">
        <v>45427</v>
      </c>
      <c r="I32" s="2">
        <v>326.41000000000003</v>
      </c>
    </row>
    <row r="33" spans="1:9" ht="16.5" customHeight="1" thickBot="1" x14ac:dyDescent="0.4">
      <c r="A33" s="1" t="s">
        <v>49</v>
      </c>
      <c r="B33" s="1" t="s">
        <v>56</v>
      </c>
      <c r="C33" s="1" t="s">
        <v>34</v>
      </c>
      <c r="D33" s="1" t="s">
        <v>12</v>
      </c>
      <c r="E33" s="2">
        <v>1023.21</v>
      </c>
      <c r="F33" s="2">
        <v>18</v>
      </c>
      <c r="G33" s="2">
        <v>0.05</v>
      </c>
      <c r="H33" s="3">
        <v>45428</v>
      </c>
      <c r="I33" s="2">
        <v>388.82</v>
      </c>
    </row>
    <row r="34" spans="1:9" ht="16.5" customHeight="1" thickBot="1" x14ac:dyDescent="0.4">
      <c r="A34" s="1" t="s">
        <v>28</v>
      </c>
      <c r="B34" s="1" t="s">
        <v>47</v>
      </c>
      <c r="C34" s="1" t="s">
        <v>11</v>
      </c>
      <c r="D34" s="1" t="s">
        <v>27</v>
      </c>
      <c r="E34" s="2">
        <v>853.72</v>
      </c>
      <c r="F34" s="2">
        <v>5</v>
      </c>
      <c r="G34" s="2">
        <v>0.15</v>
      </c>
      <c r="H34" s="3">
        <v>45428</v>
      </c>
      <c r="I34" s="2">
        <v>253.98</v>
      </c>
    </row>
    <row r="35" spans="1:9" ht="16.5" customHeight="1" thickBot="1" x14ac:dyDescent="0.4">
      <c r="A35" s="1" t="s">
        <v>57</v>
      </c>
      <c r="B35" s="1" t="s">
        <v>43</v>
      </c>
      <c r="C35" s="1" t="s">
        <v>20</v>
      </c>
      <c r="D35" s="1" t="s">
        <v>21</v>
      </c>
      <c r="E35" s="2">
        <v>967.89</v>
      </c>
      <c r="F35" s="2">
        <v>10</v>
      </c>
      <c r="G35" s="2">
        <v>0.1</v>
      </c>
      <c r="H35" s="3">
        <v>45429</v>
      </c>
      <c r="I35" s="2">
        <v>217.78</v>
      </c>
    </row>
    <row r="36" spans="1:9" ht="16.5" customHeight="1" thickBot="1" x14ac:dyDescent="0.4">
      <c r="A36" s="1" t="s">
        <v>58</v>
      </c>
      <c r="B36" s="1" t="s">
        <v>53</v>
      </c>
      <c r="C36" s="1" t="s">
        <v>24</v>
      </c>
      <c r="D36" s="1" t="s">
        <v>39</v>
      </c>
      <c r="E36" s="2">
        <v>1200.9000000000001</v>
      </c>
      <c r="F36" s="2">
        <v>14</v>
      </c>
      <c r="G36" s="2">
        <v>0.05</v>
      </c>
      <c r="H36" s="3">
        <v>45429</v>
      </c>
      <c r="I36" s="2">
        <v>513.38</v>
      </c>
    </row>
    <row r="37" spans="1:9" ht="16.5" customHeight="1" thickBot="1" x14ac:dyDescent="0.4">
      <c r="A37" s="1" t="s">
        <v>13</v>
      </c>
      <c r="B37" s="1" t="s">
        <v>26</v>
      </c>
      <c r="C37" s="1" t="s">
        <v>11</v>
      </c>
      <c r="D37" s="1" t="s">
        <v>12</v>
      </c>
      <c r="E37" s="2">
        <v>472.38</v>
      </c>
      <c r="F37" s="2">
        <v>12</v>
      </c>
      <c r="G37" s="2">
        <v>0.2</v>
      </c>
      <c r="H37" s="3">
        <v>45429</v>
      </c>
      <c r="I37" s="2">
        <v>151.16</v>
      </c>
    </row>
    <row r="38" spans="1:9" ht="16.5" customHeight="1" thickBot="1" x14ac:dyDescent="0.4">
      <c r="A38" s="1" t="s">
        <v>9</v>
      </c>
      <c r="B38" s="1" t="s">
        <v>55</v>
      </c>
      <c r="C38" s="1" t="s">
        <v>18</v>
      </c>
      <c r="D38" s="1" t="s">
        <v>39</v>
      </c>
      <c r="E38" s="2">
        <v>840.92</v>
      </c>
      <c r="F38" s="2">
        <v>9</v>
      </c>
      <c r="G38" s="2">
        <v>0.05</v>
      </c>
      <c r="H38" s="3">
        <v>45429</v>
      </c>
      <c r="I38" s="2">
        <v>359.49</v>
      </c>
    </row>
    <row r="39" spans="1:9" ht="16.5" customHeight="1" thickBot="1" x14ac:dyDescent="0.4">
      <c r="A39" s="1" t="s">
        <v>52</v>
      </c>
      <c r="B39" s="1" t="s">
        <v>48</v>
      </c>
      <c r="C39" s="1" t="s">
        <v>34</v>
      </c>
      <c r="D39" s="1" t="s">
        <v>27</v>
      </c>
      <c r="E39" s="2">
        <v>1410.06</v>
      </c>
      <c r="F39" s="2">
        <v>11</v>
      </c>
      <c r="G39" s="2">
        <v>0.05</v>
      </c>
      <c r="H39" s="3">
        <v>45434</v>
      </c>
      <c r="I39" s="2">
        <v>468.84</v>
      </c>
    </row>
    <row r="40" spans="1:9" ht="16.5" customHeight="1" thickBot="1" x14ac:dyDescent="0.4">
      <c r="A40" s="1" t="s">
        <v>44</v>
      </c>
      <c r="B40" s="1" t="s">
        <v>59</v>
      </c>
      <c r="C40" s="1" t="s">
        <v>34</v>
      </c>
      <c r="D40" s="1" t="s">
        <v>27</v>
      </c>
      <c r="E40" s="2">
        <v>773.09</v>
      </c>
      <c r="F40" s="2">
        <v>13</v>
      </c>
      <c r="G40" s="2">
        <v>0.15</v>
      </c>
      <c r="H40" s="3">
        <v>45434</v>
      </c>
      <c r="I40" s="2">
        <v>229.99</v>
      </c>
    </row>
    <row r="41" spans="1:9" ht="16.5" customHeight="1" thickBot="1" x14ac:dyDescent="0.4">
      <c r="A41" s="1" t="s">
        <v>60</v>
      </c>
      <c r="B41" s="1" t="s">
        <v>61</v>
      </c>
      <c r="C41" s="1" t="s">
        <v>18</v>
      </c>
      <c r="D41" s="1" t="s">
        <v>12</v>
      </c>
      <c r="E41" s="2">
        <v>580.42999999999995</v>
      </c>
      <c r="F41" s="2">
        <v>19</v>
      </c>
      <c r="G41" s="2">
        <v>0.15</v>
      </c>
      <c r="H41" s="3">
        <v>45435</v>
      </c>
      <c r="I41" s="2">
        <v>197.35</v>
      </c>
    </row>
    <row r="42" spans="1:9" ht="16.5" customHeight="1" thickBot="1" x14ac:dyDescent="0.4">
      <c r="A42" s="1" t="s">
        <v>19</v>
      </c>
      <c r="B42" s="1" t="s">
        <v>42</v>
      </c>
      <c r="C42" s="1" t="s">
        <v>20</v>
      </c>
      <c r="D42" s="1" t="s">
        <v>12</v>
      </c>
      <c r="E42" s="2">
        <v>1151.21</v>
      </c>
      <c r="F42" s="2">
        <v>15</v>
      </c>
      <c r="G42" s="2">
        <v>0.1</v>
      </c>
      <c r="H42" s="3">
        <v>45445</v>
      </c>
      <c r="I42" s="2">
        <v>414.44</v>
      </c>
    </row>
    <row r="43" spans="1:9" ht="16.5" customHeight="1" thickBot="1" x14ac:dyDescent="0.4">
      <c r="A43" s="1" t="s">
        <v>52</v>
      </c>
      <c r="B43" s="1" t="s">
        <v>23</v>
      </c>
      <c r="C43" s="1" t="s">
        <v>34</v>
      </c>
      <c r="D43" s="1" t="s">
        <v>39</v>
      </c>
      <c r="E43" s="2">
        <v>1025.98</v>
      </c>
      <c r="F43" s="2">
        <v>5</v>
      </c>
      <c r="G43" s="2">
        <v>0.2</v>
      </c>
      <c r="H43" s="3">
        <v>45447</v>
      </c>
      <c r="I43" s="2">
        <v>369.35</v>
      </c>
    </row>
    <row r="44" spans="1:9" ht="16.5" customHeight="1" thickBot="1" x14ac:dyDescent="0.4">
      <c r="A44" s="1" t="s">
        <v>40</v>
      </c>
      <c r="B44" s="1" t="s">
        <v>56</v>
      </c>
      <c r="C44" s="1" t="s">
        <v>18</v>
      </c>
      <c r="D44" s="1" t="s">
        <v>39</v>
      </c>
      <c r="E44" s="2">
        <v>556.41999999999996</v>
      </c>
      <c r="F44" s="2">
        <v>11</v>
      </c>
      <c r="G44" s="2">
        <v>0.15</v>
      </c>
      <c r="H44" s="3">
        <v>45447</v>
      </c>
      <c r="I44" s="2">
        <v>212.83</v>
      </c>
    </row>
    <row r="45" spans="1:9" ht="16.5" customHeight="1" thickBot="1" x14ac:dyDescent="0.4">
      <c r="A45" s="1" t="s">
        <v>57</v>
      </c>
      <c r="B45" s="1" t="s">
        <v>23</v>
      </c>
      <c r="C45" s="1" t="s">
        <v>34</v>
      </c>
      <c r="D45" s="1" t="s">
        <v>12</v>
      </c>
      <c r="E45" s="2">
        <v>840.85</v>
      </c>
      <c r="F45" s="2">
        <v>19</v>
      </c>
      <c r="G45" s="2">
        <v>0.1</v>
      </c>
      <c r="H45" s="3">
        <v>45448</v>
      </c>
      <c r="I45" s="2">
        <v>302.70999999999998</v>
      </c>
    </row>
    <row r="46" spans="1:9" ht="16.5" customHeight="1" thickBot="1" x14ac:dyDescent="0.4">
      <c r="A46" s="1" t="s">
        <v>30</v>
      </c>
      <c r="B46" s="1" t="s">
        <v>61</v>
      </c>
      <c r="C46" s="1" t="s">
        <v>24</v>
      </c>
      <c r="D46" s="1" t="s">
        <v>27</v>
      </c>
      <c r="E46" s="2">
        <v>1227.25</v>
      </c>
      <c r="F46" s="2">
        <v>12</v>
      </c>
      <c r="G46" s="2">
        <v>0.15</v>
      </c>
      <c r="H46" s="3">
        <v>45448</v>
      </c>
      <c r="I46" s="2">
        <v>365.11</v>
      </c>
    </row>
    <row r="47" spans="1:9" ht="16.5" customHeight="1" thickBot="1" x14ac:dyDescent="0.4">
      <c r="A47" s="1" t="s">
        <v>16</v>
      </c>
      <c r="B47" s="1" t="s">
        <v>62</v>
      </c>
      <c r="C47" s="1" t="s">
        <v>34</v>
      </c>
      <c r="D47" s="1" t="s">
        <v>21</v>
      </c>
      <c r="E47" s="2">
        <v>856.7</v>
      </c>
      <c r="F47" s="2">
        <v>2</v>
      </c>
      <c r="G47" s="2">
        <v>0</v>
      </c>
      <c r="H47" s="3">
        <v>45449</v>
      </c>
      <c r="I47" s="2">
        <v>214.18</v>
      </c>
    </row>
    <row r="48" spans="1:9" ht="16.5" customHeight="1" thickBot="1" x14ac:dyDescent="0.4">
      <c r="A48" s="1" t="s">
        <v>54</v>
      </c>
      <c r="B48" s="1" t="s">
        <v>56</v>
      </c>
      <c r="C48" s="1" t="s">
        <v>34</v>
      </c>
      <c r="D48" s="1" t="s">
        <v>39</v>
      </c>
      <c r="E48" s="2">
        <v>1225.42</v>
      </c>
      <c r="F48" s="2">
        <v>8</v>
      </c>
      <c r="G48" s="2">
        <v>0.15</v>
      </c>
      <c r="H48" s="3">
        <v>45449</v>
      </c>
      <c r="I48" s="2">
        <v>468.72</v>
      </c>
    </row>
    <row r="49" spans="1:9" ht="16.5" customHeight="1" thickBot="1" x14ac:dyDescent="0.4">
      <c r="A49" s="1" t="s">
        <v>63</v>
      </c>
      <c r="B49" s="1" t="s">
        <v>31</v>
      </c>
      <c r="C49" s="1" t="s">
        <v>24</v>
      </c>
      <c r="D49" s="1" t="s">
        <v>39</v>
      </c>
      <c r="E49" s="2">
        <v>1001.57</v>
      </c>
      <c r="F49" s="2">
        <v>12</v>
      </c>
      <c r="G49" s="2">
        <v>0</v>
      </c>
      <c r="H49" s="3">
        <v>45450</v>
      </c>
      <c r="I49" s="2">
        <v>450.71</v>
      </c>
    </row>
    <row r="50" spans="1:9" ht="16.5" customHeight="1" thickBot="1" x14ac:dyDescent="0.4">
      <c r="A50" s="1" t="s">
        <v>57</v>
      </c>
      <c r="B50" s="1" t="s">
        <v>26</v>
      </c>
      <c r="C50" s="1" t="s">
        <v>18</v>
      </c>
      <c r="D50" s="1" t="s">
        <v>27</v>
      </c>
      <c r="E50" s="2">
        <v>1186.8499999999999</v>
      </c>
      <c r="F50" s="2">
        <v>19</v>
      </c>
      <c r="G50" s="2">
        <v>0.2</v>
      </c>
      <c r="H50" s="3">
        <v>45451</v>
      </c>
      <c r="I50" s="2">
        <v>332.32</v>
      </c>
    </row>
    <row r="51" spans="1:9" ht="16.5" customHeight="1" thickBot="1" x14ac:dyDescent="0.4">
      <c r="A51" s="1" t="s">
        <v>44</v>
      </c>
      <c r="B51" s="1" t="s">
        <v>51</v>
      </c>
      <c r="C51" s="1" t="s">
        <v>20</v>
      </c>
      <c r="D51" s="1" t="s">
        <v>21</v>
      </c>
      <c r="E51" s="2">
        <v>775.45</v>
      </c>
      <c r="F51" s="2">
        <v>6</v>
      </c>
      <c r="G51" s="2">
        <v>0.1</v>
      </c>
      <c r="H51" s="3">
        <v>45457</v>
      </c>
      <c r="I51" s="2">
        <v>174.48</v>
      </c>
    </row>
    <row r="52" spans="1:9" ht="16.5" customHeight="1" thickBot="1" x14ac:dyDescent="0.4">
      <c r="A52" s="1" t="s">
        <v>25</v>
      </c>
      <c r="B52" s="1" t="s">
        <v>33</v>
      </c>
      <c r="C52" s="1" t="s">
        <v>20</v>
      </c>
      <c r="D52" s="1" t="s">
        <v>21</v>
      </c>
      <c r="E52" s="2">
        <v>1021.47</v>
      </c>
      <c r="F52" s="2">
        <v>6</v>
      </c>
      <c r="G52" s="2">
        <v>0.05</v>
      </c>
      <c r="H52" s="3">
        <v>45461</v>
      </c>
      <c r="I52" s="2">
        <v>242.6</v>
      </c>
    </row>
    <row r="53" spans="1:9" ht="16.5" customHeight="1" thickBot="1" x14ac:dyDescent="0.4">
      <c r="A53" s="1" t="s">
        <v>58</v>
      </c>
      <c r="B53" s="1" t="s">
        <v>23</v>
      </c>
      <c r="C53" s="1" t="s">
        <v>20</v>
      </c>
      <c r="D53" s="1" t="s">
        <v>15</v>
      </c>
      <c r="E53" s="2">
        <v>1226.6199999999999</v>
      </c>
      <c r="F53" s="2">
        <v>7</v>
      </c>
      <c r="G53" s="2">
        <v>0.1</v>
      </c>
      <c r="H53" s="3">
        <v>45463</v>
      </c>
      <c r="I53" s="2">
        <v>551.98</v>
      </c>
    </row>
    <row r="54" spans="1:9" ht="16.5" customHeight="1" thickBot="1" x14ac:dyDescent="0.4">
      <c r="A54" s="1" t="s">
        <v>22</v>
      </c>
      <c r="B54" s="1" t="s">
        <v>64</v>
      </c>
      <c r="C54" s="1" t="s">
        <v>20</v>
      </c>
      <c r="D54" s="1" t="s">
        <v>27</v>
      </c>
      <c r="E54" s="2">
        <v>1086.93</v>
      </c>
      <c r="F54" s="2">
        <v>2</v>
      </c>
      <c r="G54" s="2">
        <v>0</v>
      </c>
      <c r="H54" s="3">
        <v>45464</v>
      </c>
      <c r="I54" s="2">
        <v>380.43</v>
      </c>
    </row>
    <row r="55" spans="1:9" ht="16.5" customHeight="1" thickBot="1" x14ac:dyDescent="0.4">
      <c r="A55" s="1" t="s">
        <v>65</v>
      </c>
      <c r="B55" s="1" t="s">
        <v>48</v>
      </c>
      <c r="C55" s="1" t="s">
        <v>11</v>
      </c>
      <c r="D55" s="1" t="s">
        <v>12</v>
      </c>
      <c r="E55" s="2">
        <v>942.9</v>
      </c>
      <c r="F55" s="2">
        <v>18</v>
      </c>
      <c r="G55" s="2">
        <v>0.1</v>
      </c>
      <c r="H55" s="3">
        <v>45466</v>
      </c>
      <c r="I55" s="2">
        <v>339.44</v>
      </c>
    </row>
    <row r="56" spans="1:9" ht="16.5" customHeight="1" thickBot="1" x14ac:dyDescent="0.4">
      <c r="A56" s="1" t="s">
        <v>32</v>
      </c>
      <c r="B56" s="1" t="s">
        <v>38</v>
      </c>
      <c r="C56" s="1" t="s">
        <v>24</v>
      </c>
      <c r="D56" s="1" t="s">
        <v>21</v>
      </c>
      <c r="E56" s="2">
        <v>818.8</v>
      </c>
      <c r="F56" s="2">
        <v>15</v>
      </c>
      <c r="G56" s="2">
        <v>0.15</v>
      </c>
      <c r="H56" s="3">
        <v>45468</v>
      </c>
      <c r="I56" s="2">
        <v>173.99</v>
      </c>
    </row>
    <row r="57" spans="1:9" ht="16.5" customHeight="1" thickBot="1" x14ac:dyDescent="0.4">
      <c r="A57" s="1" t="s">
        <v>19</v>
      </c>
      <c r="B57" s="1" t="s">
        <v>14</v>
      </c>
      <c r="C57" s="1" t="s">
        <v>20</v>
      </c>
      <c r="D57" s="1" t="s">
        <v>27</v>
      </c>
      <c r="E57" s="2">
        <v>919.04</v>
      </c>
      <c r="F57" s="2">
        <v>10</v>
      </c>
      <c r="G57" s="2">
        <v>0.2</v>
      </c>
      <c r="H57" s="3">
        <v>45468</v>
      </c>
      <c r="I57" s="2">
        <v>257.33</v>
      </c>
    </row>
    <row r="58" spans="1:9" ht="16.5" customHeight="1" thickBot="1" x14ac:dyDescent="0.4">
      <c r="A58" s="1" t="s">
        <v>22</v>
      </c>
      <c r="B58" s="1" t="s">
        <v>66</v>
      </c>
      <c r="C58" s="1" t="s">
        <v>34</v>
      </c>
      <c r="D58" s="1" t="s">
        <v>12</v>
      </c>
      <c r="E58" s="2">
        <v>973.26</v>
      </c>
      <c r="F58" s="2">
        <v>11</v>
      </c>
      <c r="G58" s="2">
        <v>0</v>
      </c>
      <c r="H58" s="3">
        <v>45470</v>
      </c>
      <c r="I58" s="2">
        <v>389.3</v>
      </c>
    </row>
    <row r="59" spans="1:9" ht="16.5" customHeight="1" thickBot="1" x14ac:dyDescent="0.4">
      <c r="A59" s="1" t="s">
        <v>41</v>
      </c>
      <c r="B59" s="1" t="s">
        <v>64</v>
      </c>
      <c r="C59" s="1" t="s">
        <v>24</v>
      </c>
      <c r="D59" s="1" t="s">
        <v>21</v>
      </c>
      <c r="E59" s="2">
        <v>741.61</v>
      </c>
      <c r="F59" s="2">
        <v>1</v>
      </c>
      <c r="G59" s="2">
        <v>0.2</v>
      </c>
      <c r="H59" s="3">
        <v>45471</v>
      </c>
      <c r="I59" s="2">
        <v>148.32</v>
      </c>
    </row>
    <row r="60" spans="1:9" ht="16.5" customHeight="1" thickBot="1" x14ac:dyDescent="0.4">
      <c r="A60" s="1" t="s">
        <v>67</v>
      </c>
      <c r="B60" s="1" t="s">
        <v>38</v>
      </c>
      <c r="C60" s="1" t="s">
        <v>24</v>
      </c>
      <c r="D60" s="1" t="s">
        <v>12</v>
      </c>
      <c r="E60" s="2">
        <v>1248.82</v>
      </c>
      <c r="F60" s="2">
        <v>2</v>
      </c>
      <c r="G60" s="2">
        <v>0.1</v>
      </c>
      <c r="H60" s="3">
        <v>45473</v>
      </c>
      <c r="I60" s="2">
        <v>449.58</v>
      </c>
    </row>
    <row r="61" spans="1:9" ht="16.5" customHeight="1" thickBot="1" x14ac:dyDescent="0.4">
      <c r="A61" s="1" t="s">
        <v>13</v>
      </c>
      <c r="B61" s="1" t="s">
        <v>59</v>
      </c>
      <c r="C61" s="1" t="s">
        <v>11</v>
      </c>
      <c r="D61" s="1" t="s">
        <v>15</v>
      </c>
      <c r="E61" s="2">
        <v>1360.36</v>
      </c>
      <c r="F61" s="2">
        <v>17</v>
      </c>
      <c r="G61" s="2">
        <v>0</v>
      </c>
      <c r="H61" s="3">
        <v>45473</v>
      </c>
      <c r="I61" s="2">
        <v>680.18</v>
      </c>
    </row>
    <row r="62" spans="1:9" ht="16.5" customHeight="1" thickBot="1" x14ac:dyDescent="0.4">
      <c r="A62" s="1" t="s">
        <v>57</v>
      </c>
      <c r="B62" s="1" t="s">
        <v>31</v>
      </c>
      <c r="C62" s="1" t="s">
        <v>18</v>
      </c>
      <c r="D62" s="1" t="s">
        <v>12</v>
      </c>
      <c r="E62" s="2">
        <v>1383.3</v>
      </c>
      <c r="F62" s="2">
        <v>8</v>
      </c>
      <c r="G62" s="2">
        <v>0.1</v>
      </c>
      <c r="H62" s="3">
        <v>45478</v>
      </c>
      <c r="I62" s="2">
        <v>497.99</v>
      </c>
    </row>
    <row r="63" spans="1:9" ht="16.5" customHeight="1" thickBot="1" x14ac:dyDescent="0.4">
      <c r="A63" s="1" t="s">
        <v>35</v>
      </c>
      <c r="B63" s="1" t="s">
        <v>55</v>
      </c>
      <c r="C63" s="1" t="s">
        <v>34</v>
      </c>
      <c r="D63" s="1" t="s">
        <v>39</v>
      </c>
      <c r="E63" s="2">
        <v>488.99</v>
      </c>
      <c r="F63" s="2">
        <v>9</v>
      </c>
      <c r="G63" s="2">
        <v>0</v>
      </c>
      <c r="H63" s="3">
        <v>45479</v>
      </c>
      <c r="I63" s="2">
        <v>220.05</v>
      </c>
    </row>
    <row r="64" spans="1:9" ht="16.5" customHeight="1" thickBot="1" x14ac:dyDescent="0.4">
      <c r="A64" s="1" t="s">
        <v>30</v>
      </c>
      <c r="B64" s="1" t="s">
        <v>31</v>
      </c>
      <c r="C64" s="1" t="s">
        <v>18</v>
      </c>
      <c r="D64" s="1" t="s">
        <v>27</v>
      </c>
      <c r="E64" s="2">
        <v>933.71</v>
      </c>
      <c r="F64" s="2">
        <v>17</v>
      </c>
      <c r="G64" s="2">
        <v>0.1</v>
      </c>
      <c r="H64" s="3">
        <v>45481</v>
      </c>
      <c r="I64" s="2">
        <v>294.12</v>
      </c>
    </row>
    <row r="65" spans="1:9" ht="16.5" customHeight="1" thickBot="1" x14ac:dyDescent="0.4">
      <c r="A65" s="1" t="s">
        <v>67</v>
      </c>
      <c r="B65" s="1" t="s">
        <v>10</v>
      </c>
      <c r="C65" s="1" t="s">
        <v>11</v>
      </c>
      <c r="D65" s="1" t="s">
        <v>21</v>
      </c>
      <c r="E65" s="2">
        <v>1005.53</v>
      </c>
      <c r="F65" s="2">
        <v>17</v>
      </c>
      <c r="G65" s="2">
        <v>0.2</v>
      </c>
      <c r="H65" s="3">
        <v>45481</v>
      </c>
      <c r="I65" s="2">
        <v>201.11</v>
      </c>
    </row>
    <row r="66" spans="1:9" ht="16.5" customHeight="1" thickBot="1" x14ac:dyDescent="0.4">
      <c r="A66" s="1" t="s">
        <v>41</v>
      </c>
      <c r="B66" s="1" t="s">
        <v>61</v>
      </c>
      <c r="C66" s="1" t="s">
        <v>20</v>
      </c>
      <c r="D66" s="1" t="s">
        <v>21</v>
      </c>
      <c r="E66" s="2">
        <v>1100.0999999999999</v>
      </c>
      <c r="F66" s="2">
        <v>5</v>
      </c>
      <c r="G66" s="2">
        <v>0.05</v>
      </c>
      <c r="H66" s="3">
        <v>45482</v>
      </c>
      <c r="I66" s="2">
        <v>261.27</v>
      </c>
    </row>
    <row r="67" spans="1:9" ht="16.5" customHeight="1" thickBot="1" x14ac:dyDescent="0.4">
      <c r="A67" s="1" t="s">
        <v>67</v>
      </c>
      <c r="B67" s="1" t="s">
        <v>23</v>
      </c>
      <c r="C67" s="1" t="s">
        <v>24</v>
      </c>
      <c r="D67" s="1" t="s">
        <v>27</v>
      </c>
      <c r="E67" s="2">
        <v>1034.7</v>
      </c>
      <c r="F67" s="2">
        <v>15</v>
      </c>
      <c r="G67" s="2">
        <v>0.15</v>
      </c>
      <c r="H67" s="3">
        <v>45487</v>
      </c>
      <c r="I67" s="2">
        <v>307.82</v>
      </c>
    </row>
    <row r="68" spans="1:9" ht="16.5" customHeight="1" thickBot="1" x14ac:dyDescent="0.4">
      <c r="A68" s="1" t="s">
        <v>65</v>
      </c>
      <c r="B68" s="1" t="s">
        <v>31</v>
      </c>
      <c r="C68" s="1" t="s">
        <v>20</v>
      </c>
      <c r="D68" s="1" t="s">
        <v>12</v>
      </c>
      <c r="E68" s="2">
        <v>876.44</v>
      </c>
      <c r="F68" s="2">
        <v>12</v>
      </c>
      <c r="G68" s="2">
        <v>0.05</v>
      </c>
      <c r="H68" s="3">
        <v>45488</v>
      </c>
      <c r="I68" s="2">
        <v>333.05</v>
      </c>
    </row>
    <row r="69" spans="1:9" ht="16.5" customHeight="1" thickBot="1" x14ac:dyDescent="0.4">
      <c r="A69" s="1" t="s">
        <v>68</v>
      </c>
      <c r="B69" s="1" t="s">
        <v>55</v>
      </c>
      <c r="C69" s="1" t="s">
        <v>11</v>
      </c>
      <c r="D69" s="1" t="s">
        <v>27</v>
      </c>
      <c r="E69" s="2">
        <v>1371.34</v>
      </c>
      <c r="F69" s="2">
        <v>5</v>
      </c>
      <c r="G69" s="2">
        <v>0.05</v>
      </c>
      <c r="H69" s="3">
        <v>45488</v>
      </c>
      <c r="I69" s="2">
        <v>455.97</v>
      </c>
    </row>
    <row r="70" spans="1:9" ht="16.5" customHeight="1" thickBot="1" x14ac:dyDescent="0.4">
      <c r="A70" s="1" t="s">
        <v>57</v>
      </c>
      <c r="B70" s="1" t="s">
        <v>47</v>
      </c>
      <c r="C70" s="1" t="s">
        <v>24</v>
      </c>
      <c r="D70" s="1" t="s">
        <v>21</v>
      </c>
      <c r="E70" s="2">
        <v>1020.26</v>
      </c>
      <c r="F70" s="2">
        <v>11</v>
      </c>
      <c r="G70" s="2">
        <v>0.05</v>
      </c>
      <c r="H70" s="3">
        <v>45494</v>
      </c>
      <c r="I70" s="2">
        <v>242.31</v>
      </c>
    </row>
    <row r="71" spans="1:9" ht="16.5" customHeight="1" thickBot="1" x14ac:dyDescent="0.4">
      <c r="A71" s="1" t="s">
        <v>44</v>
      </c>
      <c r="B71" s="1" t="s">
        <v>10</v>
      </c>
      <c r="C71" s="1" t="s">
        <v>34</v>
      </c>
      <c r="D71" s="1" t="s">
        <v>39</v>
      </c>
      <c r="E71" s="2">
        <v>804.81</v>
      </c>
      <c r="F71" s="2">
        <v>1</v>
      </c>
      <c r="G71" s="2">
        <v>0.05</v>
      </c>
      <c r="H71" s="3">
        <v>45502</v>
      </c>
      <c r="I71" s="2">
        <v>344.06</v>
      </c>
    </row>
    <row r="72" spans="1:9" ht="16.5" customHeight="1" thickBot="1" x14ac:dyDescent="0.4">
      <c r="A72" s="1" t="s">
        <v>22</v>
      </c>
      <c r="B72" s="1" t="s">
        <v>55</v>
      </c>
      <c r="C72" s="1" t="s">
        <v>34</v>
      </c>
      <c r="D72" s="1" t="s">
        <v>21</v>
      </c>
      <c r="E72" s="2">
        <v>608.66</v>
      </c>
      <c r="F72" s="2">
        <v>1</v>
      </c>
      <c r="G72" s="2">
        <v>0.05</v>
      </c>
      <c r="H72" s="3">
        <v>45503</v>
      </c>
      <c r="I72" s="2">
        <v>144.56</v>
      </c>
    </row>
    <row r="73" spans="1:9" ht="16.5" customHeight="1" thickBot="1" x14ac:dyDescent="0.4">
      <c r="A73" s="1" t="s">
        <v>68</v>
      </c>
      <c r="B73" s="1" t="s">
        <v>69</v>
      </c>
      <c r="C73" s="1" t="s">
        <v>20</v>
      </c>
      <c r="D73" s="1" t="s">
        <v>39</v>
      </c>
      <c r="E73" s="2">
        <v>981.2</v>
      </c>
      <c r="F73" s="2">
        <v>19</v>
      </c>
      <c r="G73" s="2">
        <v>0</v>
      </c>
      <c r="H73" s="3">
        <v>45504</v>
      </c>
      <c r="I73" s="2">
        <v>441.54</v>
      </c>
    </row>
    <row r="74" spans="1:9" ht="16.5" customHeight="1" thickBot="1" x14ac:dyDescent="0.4">
      <c r="A74" s="1" t="s">
        <v>70</v>
      </c>
      <c r="B74" s="1" t="s">
        <v>55</v>
      </c>
      <c r="C74" s="1" t="s">
        <v>18</v>
      </c>
      <c r="D74" s="1" t="s">
        <v>21</v>
      </c>
      <c r="E74" s="2">
        <v>539.77</v>
      </c>
      <c r="F74" s="2">
        <v>10</v>
      </c>
      <c r="G74" s="2">
        <v>0.15</v>
      </c>
      <c r="H74" s="3">
        <v>45509</v>
      </c>
      <c r="I74" s="2">
        <v>114.7</v>
      </c>
    </row>
    <row r="75" spans="1:9" ht="16.5" customHeight="1" thickBot="1" x14ac:dyDescent="0.4">
      <c r="A75" s="1" t="s">
        <v>13</v>
      </c>
      <c r="B75" s="1" t="s">
        <v>71</v>
      </c>
      <c r="C75" s="1" t="s">
        <v>20</v>
      </c>
      <c r="D75" s="1" t="s">
        <v>12</v>
      </c>
      <c r="E75" s="2">
        <v>804.45</v>
      </c>
      <c r="F75" s="2">
        <v>5</v>
      </c>
      <c r="G75" s="2">
        <v>0.2</v>
      </c>
      <c r="H75" s="3">
        <v>45509</v>
      </c>
      <c r="I75" s="2">
        <v>257.42</v>
      </c>
    </row>
    <row r="76" spans="1:9" ht="16.5" customHeight="1" thickBot="1" x14ac:dyDescent="0.4">
      <c r="A76" s="1" t="s">
        <v>70</v>
      </c>
      <c r="B76" s="1" t="s">
        <v>38</v>
      </c>
      <c r="C76" s="1" t="s">
        <v>11</v>
      </c>
      <c r="D76" s="1" t="s">
        <v>21</v>
      </c>
      <c r="E76" s="2">
        <v>1526.6</v>
      </c>
      <c r="F76" s="2">
        <v>13</v>
      </c>
      <c r="G76" s="2">
        <v>0.2</v>
      </c>
      <c r="H76" s="3">
        <v>45512</v>
      </c>
      <c r="I76" s="2">
        <v>305.32</v>
      </c>
    </row>
    <row r="77" spans="1:9" ht="16.5" customHeight="1" thickBot="1" x14ac:dyDescent="0.4">
      <c r="A77" s="1" t="s">
        <v>13</v>
      </c>
      <c r="B77" s="1" t="s">
        <v>29</v>
      </c>
      <c r="C77" s="1" t="s">
        <v>11</v>
      </c>
      <c r="D77" s="1" t="s">
        <v>21</v>
      </c>
      <c r="E77" s="2">
        <v>1215.26</v>
      </c>
      <c r="F77" s="2">
        <v>5</v>
      </c>
      <c r="G77" s="2">
        <v>0.15</v>
      </c>
      <c r="H77" s="3">
        <v>45513</v>
      </c>
      <c r="I77" s="2">
        <v>258.24</v>
      </c>
    </row>
    <row r="78" spans="1:9" ht="16.5" customHeight="1" thickBot="1" x14ac:dyDescent="0.4">
      <c r="A78" s="1" t="s">
        <v>19</v>
      </c>
      <c r="B78" s="1" t="s">
        <v>53</v>
      </c>
      <c r="C78" s="1" t="s">
        <v>34</v>
      </c>
      <c r="D78" s="1" t="s">
        <v>27</v>
      </c>
      <c r="E78" s="2">
        <v>1261.3399999999999</v>
      </c>
      <c r="F78" s="2">
        <v>3</v>
      </c>
      <c r="G78" s="2">
        <v>0</v>
      </c>
      <c r="H78" s="3">
        <v>45519</v>
      </c>
      <c r="I78" s="2">
        <v>441.47</v>
      </c>
    </row>
    <row r="79" spans="1:9" ht="16.5" customHeight="1" thickBot="1" x14ac:dyDescent="0.4">
      <c r="A79" s="1" t="s">
        <v>72</v>
      </c>
      <c r="B79" s="1" t="s">
        <v>45</v>
      </c>
      <c r="C79" s="1" t="s">
        <v>24</v>
      </c>
      <c r="D79" s="1" t="s">
        <v>27</v>
      </c>
      <c r="E79" s="2">
        <v>518.07000000000005</v>
      </c>
      <c r="F79" s="2">
        <v>7</v>
      </c>
      <c r="G79" s="2">
        <v>0.05</v>
      </c>
      <c r="H79" s="3">
        <v>45522</v>
      </c>
      <c r="I79" s="2">
        <v>172.26</v>
      </c>
    </row>
    <row r="80" spans="1:9" ht="16.5" customHeight="1" thickBot="1" x14ac:dyDescent="0.4">
      <c r="A80" s="1" t="s">
        <v>30</v>
      </c>
      <c r="B80" s="1" t="s">
        <v>29</v>
      </c>
      <c r="C80" s="1" t="s">
        <v>11</v>
      </c>
      <c r="D80" s="1" t="s">
        <v>39</v>
      </c>
      <c r="E80" s="2">
        <v>1111.3399999999999</v>
      </c>
      <c r="F80" s="2">
        <v>1</v>
      </c>
      <c r="G80" s="2">
        <v>0</v>
      </c>
      <c r="H80" s="3">
        <v>45523</v>
      </c>
      <c r="I80" s="2">
        <v>500.1</v>
      </c>
    </row>
    <row r="81" spans="1:9" ht="16.5" customHeight="1" thickBot="1" x14ac:dyDescent="0.4">
      <c r="A81" s="1" t="s">
        <v>22</v>
      </c>
      <c r="B81" s="1" t="s">
        <v>31</v>
      </c>
      <c r="C81" s="1" t="s">
        <v>18</v>
      </c>
      <c r="D81" s="1" t="s">
        <v>15</v>
      </c>
      <c r="E81" s="2">
        <v>1291.47</v>
      </c>
      <c r="F81" s="2">
        <v>18</v>
      </c>
      <c r="G81" s="2">
        <v>0.1</v>
      </c>
      <c r="H81" s="3">
        <v>45526</v>
      </c>
      <c r="I81" s="2">
        <v>581.16</v>
      </c>
    </row>
    <row r="82" spans="1:9" ht="16.5" customHeight="1" thickBot="1" x14ac:dyDescent="0.4">
      <c r="A82" s="1" t="s">
        <v>25</v>
      </c>
      <c r="B82" s="1" t="s">
        <v>55</v>
      </c>
      <c r="C82" s="1" t="s">
        <v>24</v>
      </c>
      <c r="D82" s="1" t="s">
        <v>12</v>
      </c>
      <c r="E82" s="2">
        <v>679.71</v>
      </c>
      <c r="F82" s="2">
        <v>19</v>
      </c>
      <c r="G82" s="2">
        <v>0</v>
      </c>
      <c r="H82" s="3">
        <v>45534</v>
      </c>
      <c r="I82" s="2">
        <v>271.88</v>
      </c>
    </row>
    <row r="83" spans="1:9" ht="16.5" customHeight="1" thickBot="1" x14ac:dyDescent="0.4">
      <c r="A83" s="1" t="s">
        <v>68</v>
      </c>
      <c r="B83" s="1" t="s">
        <v>33</v>
      </c>
      <c r="C83" s="1" t="s">
        <v>18</v>
      </c>
      <c r="D83" s="1" t="s">
        <v>27</v>
      </c>
      <c r="E83" s="2">
        <v>1143.69</v>
      </c>
      <c r="F83" s="2">
        <v>17</v>
      </c>
      <c r="G83" s="2">
        <v>0</v>
      </c>
      <c r="H83" s="3">
        <v>45534</v>
      </c>
      <c r="I83" s="2">
        <v>400.29</v>
      </c>
    </row>
    <row r="84" spans="1:9" ht="16.5" customHeight="1" thickBot="1" x14ac:dyDescent="0.4">
      <c r="A84" s="1" t="s">
        <v>52</v>
      </c>
      <c r="B84" s="1" t="s">
        <v>50</v>
      </c>
      <c r="C84" s="1" t="s">
        <v>34</v>
      </c>
      <c r="D84" s="1" t="s">
        <v>21</v>
      </c>
      <c r="E84" s="2">
        <v>790.08</v>
      </c>
      <c r="F84" s="2">
        <v>7</v>
      </c>
      <c r="G84" s="2">
        <v>0.1</v>
      </c>
      <c r="H84" s="3">
        <v>45536</v>
      </c>
      <c r="I84" s="2">
        <v>177.77</v>
      </c>
    </row>
    <row r="85" spans="1:9" ht="16.5" customHeight="1" thickBot="1" x14ac:dyDescent="0.4">
      <c r="A85" s="1" t="s">
        <v>19</v>
      </c>
      <c r="B85" s="1" t="s">
        <v>48</v>
      </c>
      <c r="C85" s="1" t="s">
        <v>34</v>
      </c>
      <c r="D85" s="1" t="s">
        <v>12</v>
      </c>
      <c r="E85" s="2">
        <v>1070.68</v>
      </c>
      <c r="F85" s="2">
        <v>7</v>
      </c>
      <c r="G85" s="2">
        <v>0.05</v>
      </c>
      <c r="H85" s="3">
        <v>45536</v>
      </c>
      <c r="I85" s="2">
        <v>406.86</v>
      </c>
    </row>
    <row r="86" spans="1:9" ht="16.5" customHeight="1" thickBot="1" x14ac:dyDescent="0.4">
      <c r="A86" s="1" t="s">
        <v>58</v>
      </c>
      <c r="B86" s="1" t="s">
        <v>36</v>
      </c>
      <c r="C86" s="1" t="s">
        <v>11</v>
      </c>
      <c r="D86" s="1" t="s">
        <v>15</v>
      </c>
      <c r="E86" s="2">
        <v>1168.8900000000001</v>
      </c>
      <c r="F86" s="2">
        <v>4</v>
      </c>
      <c r="G86" s="2">
        <v>0.1</v>
      </c>
      <c r="H86" s="3">
        <v>45544</v>
      </c>
      <c r="I86" s="2">
        <v>526</v>
      </c>
    </row>
    <row r="87" spans="1:9" ht="16.5" customHeight="1" thickBot="1" x14ac:dyDescent="0.4">
      <c r="A87" s="1" t="s">
        <v>67</v>
      </c>
      <c r="B87" s="1" t="s">
        <v>10</v>
      </c>
      <c r="C87" s="1" t="s">
        <v>20</v>
      </c>
      <c r="D87" s="1" t="s">
        <v>21</v>
      </c>
      <c r="E87" s="2">
        <v>1335.87</v>
      </c>
      <c r="F87" s="2">
        <v>17</v>
      </c>
      <c r="G87" s="2">
        <v>0</v>
      </c>
      <c r="H87" s="3">
        <v>45544</v>
      </c>
      <c r="I87" s="2">
        <v>333.97</v>
      </c>
    </row>
    <row r="88" spans="1:9" ht="16.5" customHeight="1" thickBot="1" x14ac:dyDescent="0.4">
      <c r="A88" s="1" t="s">
        <v>40</v>
      </c>
      <c r="B88" s="1" t="s">
        <v>55</v>
      </c>
      <c r="C88" s="1" t="s">
        <v>18</v>
      </c>
      <c r="D88" s="1" t="s">
        <v>27</v>
      </c>
      <c r="E88" s="2">
        <v>873.7</v>
      </c>
      <c r="F88" s="2">
        <v>9</v>
      </c>
      <c r="G88" s="2">
        <v>0</v>
      </c>
      <c r="H88" s="3">
        <v>45546</v>
      </c>
      <c r="I88" s="2">
        <v>305.8</v>
      </c>
    </row>
    <row r="89" spans="1:9" ht="16.5" customHeight="1" thickBot="1" x14ac:dyDescent="0.4">
      <c r="A89" s="1" t="s">
        <v>72</v>
      </c>
      <c r="B89" s="1" t="s">
        <v>64</v>
      </c>
      <c r="C89" s="1" t="s">
        <v>11</v>
      </c>
      <c r="D89" s="1" t="s">
        <v>39</v>
      </c>
      <c r="E89" s="2">
        <v>1443.98</v>
      </c>
      <c r="F89" s="2">
        <v>19</v>
      </c>
      <c r="G89" s="2">
        <v>0</v>
      </c>
      <c r="H89" s="3">
        <v>45547</v>
      </c>
      <c r="I89" s="2">
        <v>649.79</v>
      </c>
    </row>
    <row r="90" spans="1:9" ht="16.5" customHeight="1" thickBot="1" x14ac:dyDescent="0.4">
      <c r="A90" s="1" t="s">
        <v>40</v>
      </c>
      <c r="B90" s="1" t="s">
        <v>23</v>
      </c>
      <c r="C90" s="1" t="s">
        <v>18</v>
      </c>
      <c r="D90" s="1" t="s">
        <v>39</v>
      </c>
      <c r="E90" s="2">
        <v>1154.33</v>
      </c>
      <c r="F90" s="2">
        <v>11</v>
      </c>
      <c r="G90" s="2">
        <v>0.15</v>
      </c>
      <c r="H90" s="3">
        <v>45549</v>
      </c>
      <c r="I90" s="2">
        <v>441.53</v>
      </c>
    </row>
    <row r="91" spans="1:9" ht="16.5" customHeight="1" thickBot="1" x14ac:dyDescent="0.4">
      <c r="A91" s="1" t="s">
        <v>49</v>
      </c>
      <c r="B91" s="1" t="s">
        <v>50</v>
      </c>
      <c r="C91" s="1" t="s">
        <v>20</v>
      </c>
      <c r="D91" s="1" t="s">
        <v>12</v>
      </c>
      <c r="E91" s="2">
        <v>1264.49</v>
      </c>
      <c r="F91" s="2">
        <v>16</v>
      </c>
      <c r="G91" s="2">
        <v>0.05</v>
      </c>
      <c r="H91" s="3">
        <v>45549</v>
      </c>
      <c r="I91" s="2">
        <v>480.51</v>
      </c>
    </row>
    <row r="92" spans="1:9" ht="16.5" customHeight="1" thickBot="1" x14ac:dyDescent="0.4">
      <c r="A92" s="1" t="s">
        <v>25</v>
      </c>
      <c r="B92" s="1" t="s">
        <v>66</v>
      </c>
      <c r="C92" s="1" t="s">
        <v>11</v>
      </c>
      <c r="D92" s="1" t="s">
        <v>27</v>
      </c>
      <c r="E92" s="2">
        <v>1101.55</v>
      </c>
      <c r="F92" s="2">
        <v>4</v>
      </c>
      <c r="G92" s="2">
        <v>0.1</v>
      </c>
      <c r="H92" s="3">
        <v>45551</v>
      </c>
      <c r="I92" s="2">
        <v>346.99</v>
      </c>
    </row>
    <row r="93" spans="1:9" ht="16.5" customHeight="1" thickBot="1" x14ac:dyDescent="0.4">
      <c r="A93" s="1" t="s">
        <v>73</v>
      </c>
      <c r="B93" s="1" t="s">
        <v>14</v>
      </c>
      <c r="C93" s="1" t="s">
        <v>20</v>
      </c>
      <c r="D93" s="1" t="s">
        <v>27</v>
      </c>
      <c r="E93" s="2">
        <v>727.73</v>
      </c>
      <c r="F93" s="2">
        <v>1</v>
      </c>
      <c r="G93" s="2">
        <v>0.1</v>
      </c>
      <c r="H93" s="3">
        <v>45552</v>
      </c>
      <c r="I93" s="2">
        <v>229.23</v>
      </c>
    </row>
    <row r="94" spans="1:9" ht="16.5" customHeight="1" thickBot="1" x14ac:dyDescent="0.4">
      <c r="A94" s="1" t="s">
        <v>74</v>
      </c>
      <c r="B94" s="1" t="s">
        <v>38</v>
      </c>
      <c r="C94" s="1" t="s">
        <v>18</v>
      </c>
      <c r="D94" s="1" t="s">
        <v>39</v>
      </c>
      <c r="E94" s="2">
        <v>875.41</v>
      </c>
      <c r="F94" s="2">
        <v>13</v>
      </c>
      <c r="G94" s="2">
        <v>0.15</v>
      </c>
      <c r="H94" s="3">
        <v>45552</v>
      </c>
      <c r="I94" s="2">
        <v>334.84</v>
      </c>
    </row>
    <row r="95" spans="1:9" ht="16.5" customHeight="1" thickBot="1" x14ac:dyDescent="0.4">
      <c r="A95" s="1" t="s">
        <v>67</v>
      </c>
      <c r="B95" s="1" t="s">
        <v>23</v>
      </c>
      <c r="C95" s="1" t="s">
        <v>11</v>
      </c>
      <c r="D95" s="1" t="s">
        <v>21</v>
      </c>
      <c r="E95" s="2">
        <v>1158.94</v>
      </c>
      <c r="F95" s="2">
        <v>19</v>
      </c>
      <c r="G95" s="2">
        <v>0.2</v>
      </c>
      <c r="H95" s="3">
        <v>45553</v>
      </c>
      <c r="I95" s="2">
        <v>231.79</v>
      </c>
    </row>
    <row r="96" spans="1:9" ht="16.5" customHeight="1" thickBot="1" x14ac:dyDescent="0.4">
      <c r="A96" s="1" t="s">
        <v>75</v>
      </c>
      <c r="B96" s="1" t="s">
        <v>47</v>
      </c>
      <c r="C96" s="1" t="s">
        <v>20</v>
      </c>
      <c r="D96" s="1" t="s">
        <v>12</v>
      </c>
      <c r="E96" s="2">
        <v>966.3</v>
      </c>
      <c r="F96" s="2">
        <v>2</v>
      </c>
      <c r="G96" s="2">
        <v>0.15</v>
      </c>
      <c r="H96" s="3">
        <v>45557</v>
      </c>
      <c r="I96" s="2">
        <v>328.54</v>
      </c>
    </row>
    <row r="97" spans="1:9" ht="16.5" customHeight="1" thickBot="1" x14ac:dyDescent="0.4">
      <c r="A97" s="1" t="s">
        <v>68</v>
      </c>
      <c r="B97" s="1" t="s">
        <v>17</v>
      </c>
      <c r="C97" s="1" t="s">
        <v>20</v>
      </c>
      <c r="D97" s="1" t="s">
        <v>12</v>
      </c>
      <c r="E97" s="2">
        <v>917.48</v>
      </c>
      <c r="F97" s="2">
        <v>6</v>
      </c>
      <c r="G97" s="2">
        <v>0</v>
      </c>
      <c r="H97" s="3">
        <v>45558</v>
      </c>
      <c r="I97" s="2">
        <v>366.99</v>
      </c>
    </row>
    <row r="98" spans="1:9" ht="16.5" customHeight="1" thickBot="1" x14ac:dyDescent="0.4">
      <c r="A98" s="1" t="s">
        <v>41</v>
      </c>
      <c r="B98" s="1" t="s">
        <v>61</v>
      </c>
      <c r="C98" s="1" t="s">
        <v>11</v>
      </c>
      <c r="D98" s="1" t="s">
        <v>27</v>
      </c>
      <c r="E98" s="2">
        <v>1172.97</v>
      </c>
      <c r="F98" s="2">
        <v>7</v>
      </c>
      <c r="G98" s="2">
        <v>0.15</v>
      </c>
      <c r="H98" s="3">
        <v>45559</v>
      </c>
      <c r="I98" s="2">
        <v>348.96</v>
      </c>
    </row>
    <row r="99" spans="1:9" ht="16.5" customHeight="1" thickBot="1" x14ac:dyDescent="0.4">
      <c r="A99" s="1" t="s">
        <v>57</v>
      </c>
      <c r="B99" s="1" t="s">
        <v>23</v>
      </c>
      <c r="C99" s="1" t="s">
        <v>24</v>
      </c>
      <c r="D99" s="1" t="s">
        <v>15</v>
      </c>
      <c r="E99" s="2">
        <v>1205.82</v>
      </c>
      <c r="F99" s="2">
        <v>11</v>
      </c>
      <c r="G99" s="2">
        <v>0.1</v>
      </c>
      <c r="H99" s="3">
        <v>45559</v>
      </c>
      <c r="I99" s="2">
        <v>542.62</v>
      </c>
    </row>
    <row r="100" spans="1:9" ht="16.5" customHeight="1" thickBot="1" x14ac:dyDescent="0.4">
      <c r="A100" s="1" t="s">
        <v>16</v>
      </c>
      <c r="B100" s="1" t="s">
        <v>64</v>
      </c>
      <c r="C100" s="1" t="s">
        <v>11</v>
      </c>
      <c r="D100" s="1" t="s">
        <v>39</v>
      </c>
      <c r="E100" s="2">
        <v>826.93</v>
      </c>
      <c r="F100" s="2">
        <v>10</v>
      </c>
      <c r="G100" s="2">
        <v>0.2</v>
      </c>
      <c r="H100" s="3">
        <v>45564</v>
      </c>
      <c r="I100" s="2">
        <v>297.69</v>
      </c>
    </row>
    <row r="101" spans="1:9" ht="16.5" customHeight="1" thickBot="1" x14ac:dyDescent="0.4">
      <c r="A101" s="1" t="s">
        <v>67</v>
      </c>
      <c r="B101" s="1" t="s">
        <v>23</v>
      </c>
      <c r="C101" s="1" t="s">
        <v>34</v>
      </c>
      <c r="D101" s="1" t="s">
        <v>15</v>
      </c>
      <c r="E101" s="2">
        <v>902.19</v>
      </c>
      <c r="F101" s="2">
        <v>12</v>
      </c>
      <c r="G101" s="2">
        <v>0</v>
      </c>
      <c r="H101" s="3">
        <v>45564</v>
      </c>
      <c r="I101" s="2">
        <v>451.1</v>
      </c>
    </row>
    <row r="102" spans="1:9" ht="16.5" customHeight="1" thickBot="1" x14ac:dyDescent="0.4">
      <c r="A102" s="1" t="s">
        <v>74</v>
      </c>
      <c r="B102" s="1" t="s">
        <v>38</v>
      </c>
      <c r="C102" s="1" t="s">
        <v>24</v>
      </c>
      <c r="D102" s="1" t="s">
        <v>12</v>
      </c>
      <c r="E102" s="2">
        <v>585.97</v>
      </c>
      <c r="F102" s="2">
        <v>17</v>
      </c>
      <c r="G102" s="2">
        <v>0.1</v>
      </c>
      <c r="H102" s="3">
        <v>45565</v>
      </c>
      <c r="I102" s="2">
        <v>210.95</v>
      </c>
    </row>
    <row r="103" spans="1:9" ht="16.5" customHeight="1" thickBot="1" x14ac:dyDescent="0.4">
      <c r="A103" s="1" t="s">
        <v>60</v>
      </c>
      <c r="B103" s="1" t="s">
        <v>26</v>
      </c>
      <c r="C103" s="1" t="s">
        <v>24</v>
      </c>
      <c r="D103" s="1" t="s">
        <v>15</v>
      </c>
      <c r="E103" s="2">
        <v>990.19</v>
      </c>
      <c r="F103" s="2">
        <v>8</v>
      </c>
      <c r="G103" s="2">
        <v>0.1</v>
      </c>
      <c r="H103" s="3">
        <v>45565</v>
      </c>
      <c r="I103" s="2">
        <v>445.59</v>
      </c>
    </row>
    <row r="104" spans="1:9" ht="16.5" customHeight="1" thickBot="1" x14ac:dyDescent="0.4">
      <c r="A104" s="1" t="s">
        <v>44</v>
      </c>
      <c r="B104" s="1" t="s">
        <v>56</v>
      </c>
      <c r="C104" s="1" t="s">
        <v>34</v>
      </c>
      <c r="D104" s="1" t="s">
        <v>21</v>
      </c>
      <c r="E104" s="2">
        <v>1014.09</v>
      </c>
      <c r="F104" s="2">
        <v>13</v>
      </c>
      <c r="G104" s="2">
        <v>0.2</v>
      </c>
      <c r="H104" s="3">
        <v>45567</v>
      </c>
      <c r="I104" s="2">
        <v>202.82</v>
      </c>
    </row>
    <row r="105" spans="1:9" ht="16.5" customHeight="1" thickBot="1" x14ac:dyDescent="0.4">
      <c r="A105" s="1" t="s">
        <v>13</v>
      </c>
      <c r="B105" s="1" t="s">
        <v>48</v>
      </c>
      <c r="C105" s="1" t="s">
        <v>24</v>
      </c>
      <c r="D105" s="1" t="s">
        <v>21</v>
      </c>
      <c r="E105" s="2">
        <v>925.29</v>
      </c>
      <c r="F105" s="2">
        <v>17</v>
      </c>
      <c r="G105" s="2">
        <v>0</v>
      </c>
      <c r="H105" s="3">
        <v>45570</v>
      </c>
      <c r="I105" s="2">
        <v>231.32</v>
      </c>
    </row>
    <row r="106" spans="1:9" ht="16.5" customHeight="1" thickBot="1" x14ac:dyDescent="0.4">
      <c r="A106" s="1" t="s">
        <v>54</v>
      </c>
      <c r="B106" s="1" t="s">
        <v>47</v>
      </c>
      <c r="C106" s="1" t="s">
        <v>18</v>
      </c>
      <c r="D106" s="1" t="s">
        <v>27</v>
      </c>
      <c r="E106" s="2">
        <v>1286.54</v>
      </c>
      <c r="F106" s="2">
        <v>8</v>
      </c>
      <c r="G106" s="2">
        <v>0</v>
      </c>
      <c r="H106" s="3">
        <v>45575</v>
      </c>
      <c r="I106" s="2">
        <v>450.29</v>
      </c>
    </row>
    <row r="107" spans="1:9" ht="16.5" customHeight="1" thickBot="1" x14ac:dyDescent="0.4">
      <c r="A107" s="1" t="s">
        <v>37</v>
      </c>
      <c r="B107" s="1" t="s">
        <v>64</v>
      </c>
      <c r="C107" s="1" t="s">
        <v>20</v>
      </c>
      <c r="D107" s="1" t="s">
        <v>12</v>
      </c>
      <c r="E107" s="2">
        <v>961.62</v>
      </c>
      <c r="F107" s="2">
        <v>8</v>
      </c>
      <c r="G107" s="2">
        <v>0.2</v>
      </c>
      <c r="H107" s="3">
        <v>45577</v>
      </c>
      <c r="I107" s="2">
        <v>307.72000000000003</v>
      </c>
    </row>
    <row r="108" spans="1:9" ht="16.5" customHeight="1" thickBot="1" x14ac:dyDescent="0.4">
      <c r="A108" s="1" t="s">
        <v>44</v>
      </c>
      <c r="B108" s="1" t="s">
        <v>23</v>
      </c>
      <c r="C108" s="1" t="s">
        <v>18</v>
      </c>
      <c r="D108" s="1" t="s">
        <v>12</v>
      </c>
      <c r="E108" s="2">
        <v>1081.1400000000001</v>
      </c>
      <c r="F108" s="2">
        <v>19</v>
      </c>
      <c r="G108" s="2">
        <v>0.15</v>
      </c>
      <c r="H108" s="3">
        <v>45577</v>
      </c>
      <c r="I108" s="2">
        <v>367.59</v>
      </c>
    </row>
    <row r="109" spans="1:9" ht="16.5" customHeight="1" thickBot="1" x14ac:dyDescent="0.4">
      <c r="A109" s="1" t="s">
        <v>58</v>
      </c>
      <c r="B109" s="1" t="s">
        <v>23</v>
      </c>
      <c r="C109" s="1" t="s">
        <v>11</v>
      </c>
      <c r="D109" s="1" t="s">
        <v>15</v>
      </c>
      <c r="E109" s="2">
        <v>1923.66</v>
      </c>
      <c r="F109" s="2">
        <v>9</v>
      </c>
      <c r="G109" s="2">
        <v>0.2</v>
      </c>
      <c r="H109" s="3">
        <v>45580</v>
      </c>
      <c r="I109" s="2">
        <v>769.46</v>
      </c>
    </row>
    <row r="110" spans="1:9" ht="16.5" customHeight="1" thickBot="1" x14ac:dyDescent="0.4">
      <c r="A110" s="1" t="s">
        <v>54</v>
      </c>
      <c r="B110" s="1" t="s">
        <v>66</v>
      </c>
      <c r="C110" s="1" t="s">
        <v>34</v>
      </c>
      <c r="D110" s="1" t="s">
        <v>15</v>
      </c>
      <c r="E110" s="2">
        <v>728.71</v>
      </c>
      <c r="F110" s="2">
        <v>14</v>
      </c>
      <c r="G110" s="2">
        <v>0.1</v>
      </c>
      <c r="H110" s="3">
        <v>45581</v>
      </c>
      <c r="I110" s="2">
        <v>327.92</v>
      </c>
    </row>
    <row r="111" spans="1:9" ht="16.5" customHeight="1" thickBot="1" x14ac:dyDescent="0.4">
      <c r="A111" s="1" t="s">
        <v>9</v>
      </c>
      <c r="B111" s="1" t="s">
        <v>33</v>
      </c>
      <c r="C111" s="1" t="s">
        <v>34</v>
      </c>
      <c r="D111" s="1" t="s">
        <v>15</v>
      </c>
      <c r="E111" s="2">
        <v>1301.8900000000001</v>
      </c>
      <c r="F111" s="2">
        <v>7</v>
      </c>
      <c r="G111" s="2">
        <v>0.15</v>
      </c>
      <c r="H111" s="3">
        <v>45581</v>
      </c>
      <c r="I111" s="2">
        <v>553.29999999999995</v>
      </c>
    </row>
    <row r="112" spans="1:9" ht="16.5" customHeight="1" thickBot="1" x14ac:dyDescent="0.4">
      <c r="A112" s="1" t="s">
        <v>70</v>
      </c>
      <c r="B112" s="1" t="s">
        <v>66</v>
      </c>
      <c r="C112" s="1" t="s">
        <v>18</v>
      </c>
      <c r="D112" s="1" t="s">
        <v>12</v>
      </c>
      <c r="E112" s="2">
        <v>980.18</v>
      </c>
      <c r="F112" s="2">
        <v>16</v>
      </c>
      <c r="G112" s="2">
        <v>0.1</v>
      </c>
      <c r="H112" s="3">
        <v>45582</v>
      </c>
      <c r="I112" s="2">
        <v>352.86</v>
      </c>
    </row>
    <row r="113" spans="1:9" ht="16.5" customHeight="1" thickBot="1" x14ac:dyDescent="0.4">
      <c r="A113" s="1" t="s">
        <v>74</v>
      </c>
      <c r="B113" s="1" t="s">
        <v>23</v>
      </c>
      <c r="C113" s="1" t="s">
        <v>11</v>
      </c>
      <c r="D113" s="1" t="s">
        <v>15</v>
      </c>
      <c r="E113" s="2">
        <v>697.57</v>
      </c>
      <c r="F113" s="2">
        <v>17</v>
      </c>
      <c r="G113" s="2">
        <v>0.1</v>
      </c>
      <c r="H113" s="3">
        <v>45584</v>
      </c>
      <c r="I113" s="2">
        <v>313.91000000000003</v>
      </c>
    </row>
    <row r="114" spans="1:9" ht="16.5" customHeight="1" thickBot="1" x14ac:dyDescent="0.4">
      <c r="A114" s="1" t="s">
        <v>46</v>
      </c>
      <c r="B114" s="1" t="s">
        <v>71</v>
      </c>
      <c r="C114" s="1" t="s">
        <v>11</v>
      </c>
      <c r="D114" s="1" t="s">
        <v>27</v>
      </c>
      <c r="E114" s="2">
        <v>1193.6099999999999</v>
      </c>
      <c r="F114" s="2">
        <v>1</v>
      </c>
      <c r="G114" s="2">
        <v>0.15</v>
      </c>
      <c r="H114" s="3">
        <v>45584</v>
      </c>
      <c r="I114" s="2">
        <v>355.1</v>
      </c>
    </row>
    <row r="115" spans="1:9" ht="16.5" customHeight="1" thickBot="1" x14ac:dyDescent="0.4">
      <c r="A115" s="1" t="s">
        <v>32</v>
      </c>
      <c r="B115" s="1" t="s">
        <v>38</v>
      </c>
      <c r="C115" s="1" t="s">
        <v>20</v>
      </c>
      <c r="D115" s="1" t="s">
        <v>21</v>
      </c>
      <c r="E115" s="2">
        <v>771.02</v>
      </c>
      <c r="F115" s="2">
        <v>1</v>
      </c>
      <c r="G115" s="2">
        <v>0</v>
      </c>
      <c r="H115" s="3">
        <v>45585</v>
      </c>
      <c r="I115" s="2">
        <v>192.76</v>
      </c>
    </row>
    <row r="116" spans="1:9" ht="16.5" customHeight="1" thickBot="1" x14ac:dyDescent="0.4">
      <c r="A116" s="1" t="s">
        <v>67</v>
      </c>
      <c r="B116" s="1" t="s">
        <v>69</v>
      </c>
      <c r="C116" s="1" t="s">
        <v>24</v>
      </c>
      <c r="D116" s="1" t="s">
        <v>15</v>
      </c>
      <c r="E116" s="2">
        <v>661.09</v>
      </c>
      <c r="F116" s="2">
        <v>1</v>
      </c>
      <c r="G116" s="2">
        <v>0.2</v>
      </c>
      <c r="H116" s="3">
        <v>45593</v>
      </c>
      <c r="I116" s="2">
        <v>264.44</v>
      </c>
    </row>
    <row r="117" spans="1:9" ht="16.5" customHeight="1" thickBot="1" x14ac:dyDescent="0.4">
      <c r="A117" s="1" t="s">
        <v>13</v>
      </c>
      <c r="B117" s="1" t="s">
        <v>55</v>
      </c>
      <c r="C117" s="1" t="s">
        <v>11</v>
      </c>
      <c r="D117" s="1" t="s">
        <v>21</v>
      </c>
      <c r="E117" s="2">
        <v>688.83</v>
      </c>
      <c r="F117" s="2">
        <v>15</v>
      </c>
      <c r="G117" s="2">
        <v>0</v>
      </c>
      <c r="H117" s="3">
        <v>45595</v>
      </c>
      <c r="I117" s="2">
        <v>172.21</v>
      </c>
    </row>
    <row r="118" spans="1:9" ht="16.5" customHeight="1" thickBot="1" x14ac:dyDescent="0.4">
      <c r="A118" s="1" t="s">
        <v>73</v>
      </c>
      <c r="B118" s="1" t="s">
        <v>29</v>
      </c>
      <c r="C118" s="1" t="s">
        <v>34</v>
      </c>
      <c r="D118" s="1" t="s">
        <v>12</v>
      </c>
      <c r="E118" s="2">
        <v>1249.0999999999999</v>
      </c>
      <c r="F118" s="2">
        <v>4</v>
      </c>
      <c r="G118" s="2">
        <v>0.05</v>
      </c>
      <c r="H118" s="3">
        <v>45597</v>
      </c>
      <c r="I118" s="2">
        <v>474.66</v>
      </c>
    </row>
    <row r="119" spans="1:9" ht="16.5" customHeight="1" thickBot="1" x14ac:dyDescent="0.4">
      <c r="A119" s="1" t="s">
        <v>44</v>
      </c>
      <c r="B119" s="1" t="s">
        <v>23</v>
      </c>
      <c r="C119" s="1" t="s">
        <v>18</v>
      </c>
      <c r="D119" s="1" t="s">
        <v>39</v>
      </c>
      <c r="E119" s="2">
        <v>1014.22</v>
      </c>
      <c r="F119" s="2">
        <v>14</v>
      </c>
      <c r="G119" s="2">
        <v>0.05</v>
      </c>
      <c r="H119" s="3">
        <v>45599</v>
      </c>
      <c r="I119" s="2">
        <v>433.58</v>
      </c>
    </row>
    <row r="120" spans="1:9" ht="16.5" customHeight="1" thickBot="1" x14ac:dyDescent="0.4">
      <c r="A120" s="1" t="s">
        <v>54</v>
      </c>
      <c r="B120" s="1" t="s">
        <v>48</v>
      </c>
      <c r="C120" s="1" t="s">
        <v>18</v>
      </c>
      <c r="D120" s="1" t="s">
        <v>12</v>
      </c>
      <c r="E120" s="2">
        <v>1010.58</v>
      </c>
      <c r="F120" s="2">
        <v>2</v>
      </c>
      <c r="G120" s="2">
        <v>0.15</v>
      </c>
      <c r="H120" s="3">
        <v>45605</v>
      </c>
      <c r="I120" s="2">
        <v>343.6</v>
      </c>
    </row>
    <row r="121" spans="1:9" ht="16.5" customHeight="1" thickBot="1" x14ac:dyDescent="0.4">
      <c r="A121" s="1" t="s">
        <v>30</v>
      </c>
      <c r="B121" s="1" t="s">
        <v>59</v>
      </c>
      <c r="C121" s="1" t="s">
        <v>24</v>
      </c>
      <c r="D121" s="1" t="s">
        <v>27</v>
      </c>
      <c r="E121" s="2">
        <v>957.29</v>
      </c>
      <c r="F121" s="2">
        <v>4</v>
      </c>
      <c r="G121" s="2">
        <v>0.05</v>
      </c>
      <c r="H121" s="3">
        <v>45605</v>
      </c>
      <c r="I121" s="2">
        <v>318.3</v>
      </c>
    </row>
    <row r="122" spans="1:9" ht="16.5" customHeight="1" thickBot="1" x14ac:dyDescent="0.4">
      <c r="A122" s="1" t="s">
        <v>28</v>
      </c>
      <c r="B122" s="1" t="s">
        <v>45</v>
      </c>
      <c r="C122" s="1" t="s">
        <v>24</v>
      </c>
      <c r="D122" s="1" t="s">
        <v>27</v>
      </c>
      <c r="E122" s="2">
        <v>1077.92</v>
      </c>
      <c r="F122" s="2">
        <v>3</v>
      </c>
      <c r="G122" s="2">
        <v>0.05</v>
      </c>
      <c r="H122" s="3">
        <v>45608</v>
      </c>
      <c r="I122" s="2">
        <v>358.41</v>
      </c>
    </row>
    <row r="123" spans="1:9" ht="16.5" customHeight="1" thickBot="1" x14ac:dyDescent="0.4">
      <c r="A123" s="1" t="s">
        <v>52</v>
      </c>
      <c r="B123" s="1" t="s">
        <v>50</v>
      </c>
      <c r="C123" s="1" t="s">
        <v>20</v>
      </c>
      <c r="D123" s="1" t="s">
        <v>15</v>
      </c>
      <c r="E123" s="2">
        <v>1163.01</v>
      </c>
      <c r="F123" s="2">
        <v>5</v>
      </c>
      <c r="G123" s="2">
        <v>0</v>
      </c>
      <c r="H123" s="3">
        <v>45611</v>
      </c>
      <c r="I123" s="2">
        <v>581.5</v>
      </c>
    </row>
    <row r="124" spans="1:9" ht="16.5" customHeight="1" thickBot="1" x14ac:dyDescent="0.4">
      <c r="A124" s="1" t="s">
        <v>54</v>
      </c>
      <c r="B124" s="1" t="s">
        <v>45</v>
      </c>
      <c r="C124" s="1" t="s">
        <v>18</v>
      </c>
      <c r="D124" s="1" t="s">
        <v>39</v>
      </c>
      <c r="E124" s="2">
        <v>1014.56</v>
      </c>
      <c r="F124" s="2">
        <v>10</v>
      </c>
      <c r="G124" s="2">
        <v>0.1</v>
      </c>
      <c r="H124" s="3">
        <v>45612</v>
      </c>
      <c r="I124" s="2">
        <v>410.9</v>
      </c>
    </row>
    <row r="125" spans="1:9" ht="16.5" customHeight="1" thickBot="1" x14ac:dyDescent="0.4">
      <c r="A125" s="1" t="s">
        <v>9</v>
      </c>
      <c r="B125" s="1" t="s">
        <v>17</v>
      </c>
      <c r="C125" s="1" t="s">
        <v>20</v>
      </c>
      <c r="D125" s="1" t="s">
        <v>21</v>
      </c>
      <c r="E125" s="2">
        <v>718.04</v>
      </c>
      <c r="F125" s="2">
        <v>14</v>
      </c>
      <c r="G125" s="2">
        <v>0</v>
      </c>
      <c r="H125" s="3">
        <v>45613</v>
      </c>
      <c r="I125" s="2">
        <v>179.51</v>
      </c>
    </row>
    <row r="126" spans="1:9" ht="16.5" customHeight="1" thickBot="1" x14ac:dyDescent="0.4">
      <c r="A126" s="1" t="s">
        <v>72</v>
      </c>
      <c r="B126" s="1" t="s">
        <v>17</v>
      </c>
      <c r="C126" s="1" t="s">
        <v>34</v>
      </c>
      <c r="D126" s="1" t="s">
        <v>15</v>
      </c>
      <c r="E126" s="2">
        <v>1277.8499999999999</v>
      </c>
      <c r="F126" s="2">
        <v>18</v>
      </c>
      <c r="G126" s="2">
        <v>0.2</v>
      </c>
      <c r="H126" s="3">
        <v>45613</v>
      </c>
      <c r="I126" s="2">
        <v>511.14</v>
      </c>
    </row>
    <row r="127" spans="1:9" ht="16.5" customHeight="1" thickBot="1" x14ac:dyDescent="0.4">
      <c r="A127" s="1" t="s">
        <v>70</v>
      </c>
      <c r="B127" s="1" t="s">
        <v>23</v>
      </c>
      <c r="C127" s="1" t="s">
        <v>24</v>
      </c>
      <c r="D127" s="1" t="s">
        <v>21</v>
      </c>
      <c r="E127" s="2">
        <v>706.73</v>
      </c>
      <c r="F127" s="2">
        <v>1</v>
      </c>
      <c r="G127" s="2">
        <v>0.15</v>
      </c>
      <c r="H127" s="3">
        <v>45613</v>
      </c>
      <c r="I127" s="2">
        <v>150.18</v>
      </c>
    </row>
    <row r="128" spans="1:9" ht="16.5" customHeight="1" thickBot="1" x14ac:dyDescent="0.4">
      <c r="A128" s="1" t="s">
        <v>65</v>
      </c>
      <c r="B128" s="1" t="s">
        <v>50</v>
      </c>
      <c r="C128" s="1" t="s">
        <v>18</v>
      </c>
      <c r="D128" s="1" t="s">
        <v>21</v>
      </c>
      <c r="E128" s="2">
        <v>1410.59</v>
      </c>
      <c r="F128" s="2">
        <v>15</v>
      </c>
      <c r="G128" s="2">
        <v>0</v>
      </c>
      <c r="H128" s="3">
        <v>45615</v>
      </c>
      <c r="I128" s="2">
        <v>352.65</v>
      </c>
    </row>
    <row r="129" spans="1:9" ht="16.5" customHeight="1" thickBot="1" x14ac:dyDescent="0.4">
      <c r="A129" s="1" t="s">
        <v>32</v>
      </c>
      <c r="B129" s="1" t="s">
        <v>61</v>
      </c>
      <c r="C129" s="1" t="s">
        <v>20</v>
      </c>
      <c r="D129" s="1" t="s">
        <v>27</v>
      </c>
      <c r="E129" s="2">
        <v>1350.33</v>
      </c>
      <c r="F129" s="2">
        <v>10</v>
      </c>
      <c r="G129" s="2">
        <v>0</v>
      </c>
      <c r="H129" s="3">
        <v>45615</v>
      </c>
      <c r="I129" s="2">
        <v>472.62</v>
      </c>
    </row>
    <row r="130" spans="1:9" ht="16.5" customHeight="1" thickBot="1" x14ac:dyDescent="0.4">
      <c r="A130" s="1" t="s">
        <v>41</v>
      </c>
      <c r="B130" s="1" t="s">
        <v>45</v>
      </c>
      <c r="C130" s="1" t="s">
        <v>18</v>
      </c>
      <c r="D130" s="1" t="s">
        <v>21</v>
      </c>
      <c r="E130" s="2">
        <v>919.18</v>
      </c>
      <c r="F130" s="2">
        <v>4</v>
      </c>
      <c r="G130" s="2">
        <v>0.15</v>
      </c>
      <c r="H130" s="3">
        <v>45615</v>
      </c>
      <c r="I130" s="2">
        <v>195.33</v>
      </c>
    </row>
    <row r="131" spans="1:9" ht="16.5" customHeight="1" thickBot="1" x14ac:dyDescent="0.4">
      <c r="A131" s="1" t="s">
        <v>74</v>
      </c>
      <c r="B131" s="1" t="s">
        <v>23</v>
      </c>
      <c r="C131" s="1" t="s">
        <v>11</v>
      </c>
      <c r="D131" s="1" t="s">
        <v>21</v>
      </c>
      <c r="E131" s="2">
        <v>258.51</v>
      </c>
      <c r="F131" s="2">
        <v>19</v>
      </c>
      <c r="G131" s="2">
        <v>0</v>
      </c>
      <c r="H131" s="3">
        <v>45616</v>
      </c>
      <c r="I131" s="2">
        <v>64.63</v>
      </c>
    </row>
    <row r="132" spans="1:9" ht="16.5" customHeight="1" thickBot="1" x14ac:dyDescent="0.4">
      <c r="A132" s="1" t="s">
        <v>63</v>
      </c>
      <c r="B132" s="1" t="s">
        <v>61</v>
      </c>
      <c r="C132" s="1" t="s">
        <v>18</v>
      </c>
      <c r="D132" s="1" t="s">
        <v>12</v>
      </c>
      <c r="E132" s="2">
        <v>1213.48</v>
      </c>
      <c r="F132" s="2">
        <v>5</v>
      </c>
      <c r="G132" s="2">
        <v>0.05</v>
      </c>
      <c r="H132" s="3">
        <v>45616</v>
      </c>
      <c r="I132" s="2">
        <v>461.12</v>
      </c>
    </row>
    <row r="133" spans="1:9" ht="16.5" customHeight="1" thickBot="1" x14ac:dyDescent="0.4">
      <c r="A133" s="1" t="s">
        <v>57</v>
      </c>
      <c r="B133" s="1" t="s">
        <v>38</v>
      </c>
      <c r="C133" s="1" t="s">
        <v>34</v>
      </c>
      <c r="D133" s="1" t="s">
        <v>12</v>
      </c>
      <c r="E133" s="2">
        <v>1150.28</v>
      </c>
      <c r="F133" s="2">
        <v>8</v>
      </c>
      <c r="G133" s="2">
        <v>0.05</v>
      </c>
      <c r="H133" s="3">
        <v>45622</v>
      </c>
      <c r="I133" s="2">
        <v>437.11</v>
      </c>
    </row>
    <row r="134" spans="1:9" ht="16.5" customHeight="1" thickBot="1" x14ac:dyDescent="0.4">
      <c r="A134" s="1" t="s">
        <v>37</v>
      </c>
      <c r="B134" s="1" t="s">
        <v>71</v>
      </c>
      <c r="C134" s="1" t="s">
        <v>20</v>
      </c>
      <c r="D134" s="1" t="s">
        <v>27</v>
      </c>
      <c r="E134" s="2">
        <v>853.86</v>
      </c>
      <c r="F134" s="2">
        <v>8</v>
      </c>
      <c r="G134" s="2">
        <v>0.1</v>
      </c>
      <c r="H134" s="3">
        <v>45622</v>
      </c>
      <c r="I134" s="2">
        <v>268.97000000000003</v>
      </c>
    </row>
    <row r="135" spans="1:9" ht="16.5" customHeight="1" thickBot="1" x14ac:dyDescent="0.4">
      <c r="A135" s="1" t="s">
        <v>75</v>
      </c>
      <c r="B135" s="1" t="s">
        <v>45</v>
      </c>
      <c r="C135" s="1" t="s">
        <v>20</v>
      </c>
      <c r="D135" s="1" t="s">
        <v>21</v>
      </c>
      <c r="E135" s="2">
        <v>1061.04</v>
      </c>
      <c r="F135" s="2">
        <v>1</v>
      </c>
      <c r="G135" s="2">
        <v>0</v>
      </c>
      <c r="H135" s="3">
        <v>45624</v>
      </c>
      <c r="I135" s="2">
        <v>265.26</v>
      </c>
    </row>
    <row r="136" spans="1:9" ht="16.5" customHeight="1" thickBot="1" x14ac:dyDescent="0.4">
      <c r="A136" s="1" t="s">
        <v>28</v>
      </c>
      <c r="B136" s="1" t="s">
        <v>43</v>
      </c>
      <c r="C136" s="1" t="s">
        <v>11</v>
      </c>
      <c r="D136" s="1" t="s">
        <v>21</v>
      </c>
      <c r="E136" s="2">
        <v>894.55</v>
      </c>
      <c r="F136" s="2">
        <v>19</v>
      </c>
      <c r="G136" s="2">
        <v>0.2</v>
      </c>
      <c r="H136" s="3">
        <v>45625</v>
      </c>
      <c r="I136" s="2">
        <v>178.91</v>
      </c>
    </row>
    <row r="137" spans="1:9" ht="16.5" customHeight="1" thickBot="1" x14ac:dyDescent="0.4">
      <c r="A137" s="1" t="s">
        <v>25</v>
      </c>
      <c r="B137" s="1" t="s">
        <v>38</v>
      </c>
      <c r="C137" s="1" t="s">
        <v>24</v>
      </c>
      <c r="D137" s="1" t="s">
        <v>39</v>
      </c>
      <c r="E137" s="2">
        <v>833.91</v>
      </c>
      <c r="F137" s="2">
        <v>3</v>
      </c>
      <c r="G137" s="2">
        <v>0.05</v>
      </c>
      <c r="H137" s="3">
        <v>45626</v>
      </c>
      <c r="I137" s="2">
        <v>356.5</v>
      </c>
    </row>
    <row r="138" spans="1:9" ht="16.5" customHeight="1" thickBot="1" x14ac:dyDescent="0.4">
      <c r="A138" s="1" t="s">
        <v>58</v>
      </c>
      <c r="B138" s="1" t="s">
        <v>71</v>
      </c>
      <c r="C138" s="1" t="s">
        <v>11</v>
      </c>
      <c r="D138" s="1" t="s">
        <v>27</v>
      </c>
      <c r="E138" s="2">
        <v>820.19</v>
      </c>
      <c r="F138" s="2">
        <v>4</v>
      </c>
      <c r="G138" s="2">
        <v>0.2</v>
      </c>
      <c r="H138" s="3">
        <v>45630</v>
      </c>
      <c r="I138" s="2">
        <v>229.65</v>
      </c>
    </row>
    <row r="139" spans="1:9" ht="16.5" customHeight="1" thickBot="1" x14ac:dyDescent="0.4">
      <c r="A139" s="1" t="s">
        <v>58</v>
      </c>
      <c r="B139" s="1" t="s">
        <v>38</v>
      </c>
      <c r="C139" s="1" t="s">
        <v>34</v>
      </c>
      <c r="D139" s="1" t="s">
        <v>21</v>
      </c>
      <c r="E139" s="2">
        <v>511.74</v>
      </c>
      <c r="F139" s="2">
        <v>8</v>
      </c>
      <c r="G139" s="2">
        <v>0.05</v>
      </c>
      <c r="H139" s="3">
        <v>45631</v>
      </c>
      <c r="I139" s="2">
        <v>121.54</v>
      </c>
    </row>
    <row r="140" spans="1:9" ht="16.5" customHeight="1" thickBot="1" x14ac:dyDescent="0.4">
      <c r="A140" s="1" t="s">
        <v>65</v>
      </c>
      <c r="B140" s="1" t="s">
        <v>61</v>
      </c>
      <c r="C140" s="1" t="s">
        <v>20</v>
      </c>
      <c r="D140" s="1" t="s">
        <v>27</v>
      </c>
      <c r="E140" s="2">
        <v>806.03</v>
      </c>
      <c r="F140" s="2">
        <v>19</v>
      </c>
      <c r="G140" s="2">
        <v>0.05</v>
      </c>
      <c r="H140" s="3">
        <v>45638</v>
      </c>
      <c r="I140" s="2">
        <v>268</v>
      </c>
    </row>
    <row r="141" spans="1:9" ht="16.5" customHeight="1" thickBot="1" x14ac:dyDescent="0.4">
      <c r="A141" s="1" t="s">
        <v>28</v>
      </c>
      <c r="B141" s="1" t="s">
        <v>26</v>
      </c>
      <c r="C141" s="1" t="s">
        <v>34</v>
      </c>
      <c r="D141" s="1" t="s">
        <v>27</v>
      </c>
      <c r="E141" s="2">
        <v>1432.47</v>
      </c>
      <c r="F141" s="2">
        <v>16</v>
      </c>
      <c r="G141" s="2">
        <v>0.15</v>
      </c>
      <c r="H141" s="3">
        <v>45640</v>
      </c>
      <c r="I141" s="2">
        <v>426.16</v>
      </c>
    </row>
    <row r="142" spans="1:9" ht="16.5" customHeight="1" thickBot="1" x14ac:dyDescent="0.4">
      <c r="A142" s="1" t="s">
        <v>74</v>
      </c>
      <c r="B142" s="1" t="s">
        <v>29</v>
      </c>
      <c r="C142" s="1" t="s">
        <v>34</v>
      </c>
      <c r="D142" s="1" t="s">
        <v>21</v>
      </c>
      <c r="E142" s="2">
        <v>1488.58</v>
      </c>
      <c r="F142" s="2">
        <v>10</v>
      </c>
      <c r="G142" s="2">
        <v>0.15</v>
      </c>
      <c r="H142" s="3">
        <v>45640</v>
      </c>
      <c r="I142" s="2">
        <v>316.32</v>
      </c>
    </row>
    <row r="143" spans="1:9" ht="16.5" customHeight="1" thickBot="1" x14ac:dyDescent="0.4">
      <c r="A143" s="1" t="s">
        <v>30</v>
      </c>
      <c r="B143" s="1" t="s">
        <v>66</v>
      </c>
      <c r="C143" s="1" t="s">
        <v>18</v>
      </c>
      <c r="D143" s="1" t="s">
        <v>12</v>
      </c>
      <c r="E143" s="2">
        <v>1231.26</v>
      </c>
      <c r="F143" s="2">
        <v>9</v>
      </c>
      <c r="G143" s="2">
        <v>0</v>
      </c>
      <c r="H143" s="3">
        <v>45646</v>
      </c>
      <c r="I143" s="2">
        <v>492.5</v>
      </c>
    </row>
    <row r="144" spans="1:9" ht="16.5" customHeight="1" thickBot="1" x14ac:dyDescent="0.4">
      <c r="A144" s="1" t="s">
        <v>30</v>
      </c>
      <c r="B144" s="1" t="s">
        <v>43</v>
      </c>
      <c r="C144" s="1" t="s">
        <v>11</v>
      </c>
      <c r="D144" s="1" t="s">
        <v>21</v>
      </c>
      <c r="E144" s="2">
        <v>1161.67</v>
      </c>
      <c r="F144" s="2">
        <v>19</v>
      </c>
      <c r="G144" s="2">
        <v>0.2</v>
      </c>
      <c r="H144" s="3">
        <v>45647</v>
      </c>
      <c r="I144" s="2">
        <v>232.33</v>
      </c>
    </row>
    <row r="145" spans="1:9" ht="16.5" customHeight="1" thickBot="1" x14ac:dyDescent="0.4">
      <c r="A145" s="1" t="s">
        <v>49</v>
      </c>
      <c r="B145" s="1" t="s">
        <v>45</v>
      </c>
      <c r="C145" s="1" t="s">
        <v>34</v>
      </c>
      <c r="D145" s="1" t="s">
        <v>39</v>
      </c>
      <c r="E145" s="2">
        <v>388.23</v>
      </c>
      <c r="F145" s="2">
        <v>16</v>
      </c>
      <c r="G145" s="2">
        <v>0.05</v>
      </c>
      <c r="H145" s="3">
        <v>45650</v>
      </c>
      <c r="I145" s="2">
        <v>165.97</v>
      </c>
    </row>
    <row r="146" spans="1:9" ht="16.5" customHeight="1" thickBot="1" x14ac:dyDescent="0.4">
      <c r="A146" s="1" t="s">
        <v>72</v>
      </c>
      <c r="B146" s="1" t="s">
        <v>31</v>
      </c>
      <c r="C146" s="1" t="s">
        <v>24</v>
      </c>
      <c r="D146" s="1" t="s">
        <v>15</v>
      </c>
      <c r="E146" s="2">
        <v>1589.42</v>
      </c>
      <c r="F146" s="2">
        <v>6</v>
      </c>
      <c r="G146" s="2">
        <v>0.15</v>
      </c>
      <c r="H146" s="3">
        <v>45651</v>
      </c>
      <c r="I146" s="2">
        <v>675.5</v>
      </c>
    </row>
    <row r="147" spans="1:9" ht="16.5" customHeight="1" thickBot="1" x14ac:dyDescent="0.4">
      <c r="A147" s="1" t="s">
        <v>28</v>
      </c>
      <c r="B147" s="1" t="s">
        <v>71</v>
      </c>
      <c r="C147" s="1" t="s">
        <v>24</v>
      </c>
      <c r="D147" s="1" t="s">
        <v>15</v>
      </c>
      <c r="E147" s="2">
        <v>336.66</v>
      </c>
      <c r="F147" s="2">
        <v>13</v>
      </c>
      <c r="G147" s="2">
        <v>0.2</v>
      </c>
      <c r="H147" s="3">
        <v>45651</v>
      </c>
      <c r="I147" s="2">
        <v>134.66</v>
      </c>
    </row>
    <row r="148" spans="1:9" ht="16.5" customHeight="1" thickBot="1" x14ac:dyDescent="0.4">
      <c r="A148" s="1" t="s">
        <v>49</v>
      </c>
      <c r="B148" s="1" t="s">
        <v>23</v>
      </c>
      <c r="C148" s="1" t="s">
        <v>11</v>
      </c>
      <c r="D148" s="1" t="s">
        <v>12</v>
      </c>
      <c r="E148" s="2">
        <v>1353.79</v>
      </c>
      <c r="F148" s="2">
        <v>14</v>
      </c>
      <c r="G148" s="2">
        <v>0.1</v>
      </c>
      <c r="H148" s="3">
        <v>45656</v>
      </c>
      <c r="I148" s="2">
        <v>487.36</v>
      </c>
    </row>
    <row r="149" spans="1:9" ht="16.5" customHeight="1" thickBot="1" x14ac:dyDescent="0.4">
      <c r="A149" s="1" t="s">
        <v>63</v>
      </c>
      <c r="B149" s="1" t="s">
        <v>69</v>
      </c>
      <c r="C149" s="1" t="s">
        <v>34</v>
      </c>
      <c r="D149" s="1" t="s">
        <v>15</v>
      </c>
      <c r="E149" s="2">
        <v>662.61</v>
      </c>
      <c r="F149" s="2">
        <v>11</v>
      </c>
      <c r="G149" s="2">
        <v>0.05</v>
      </c>
      <c r="H149" s="3">
        <v>45658</v>
      </c>
      <c r="I149" s="2">
        <v>314.74</v>
      </c>
    </row>
    <row r="150" spans="1:9" ht="16.5" customHeight="1" thickBot="1" x14ac:dyDescent="0.4">
      <c r="A150" s="1" t="s">
        <v>52</v>
      </c>
      <c r="B150" s="1" t="s">
        <v>48</v>
      </c>
      <c r="C150" s="1" t="s">
        <v>24</v>
      </c>
      <c r="D150" s="1" t="s">
        <v>39</v>
      </c>
      <c r="E150" s="2">
        <v>309.42</v>
      </c>
      <c r="F150" s="2">
        <v>1</v>
      </c>
      <c r="G150" s="2">
        <v>0.2</v>
      </c>
      <c r="H150" s="3">
        <v>45658</v>
      </c>
      <c r="I150" s="2">
        <v>111.39</v>
      </c>
    </row>
    <row r="151" spans="1:9" ht="16.5" customHeight="1" thickBot="1" x14ac:dyDescent="0.4">
      <c r="A151" s="1" t="s">
        <v>63</v>
      </c>
      <c r="B151" s="1" t="s">
        <v>29</v>
      </c>
      <c r="C151" s="1" t="s">
        <v>24</v>
      </c>
      <c r="D151" s="1" t="s">
        <v>12</v>
      </c>
      <c r="E151" s="2">
        <v>884.63</v>
      </c>
      <c r="F151" s="2">
        <v>18</v>
      </c>
      <c r="G151" s="2">
        <v>0.1</v>
      </c>
      <c r="H151" s="3">
        <v>45659</v>
      </c>
      <c r="I151" s="2">
        <v>318.47000000000003</v>
      </c>
    </row>
    <row r="152" spans="1:9" ht="16.5" customHeight="1" thickBot="1" x14ac:dyDescent="0.4">
      <c r="A152" s="1" t="s">
        <v>52</v>
      </c>
      <c r="B152" s="1" t="s">
        <v>23</v>
      </c>
      <c r="C152" s="1" t="s">
        <v>34</v>
      </c>
      <c r="D152" s="1" t="s">
        <v>39</v>
      </c>
      <c r="E152" s="2">
        <v>745.05</v>
      </c>
      <c r="F152" s="2">
        <v>10</v>
      </c>
      <c r="G152" s="2">
        <v>0.1</v>
      </c>
      <c r="H152" s="3">
        <v>45660</v>
      </c>
      <c r="I152" s="2">
        <v>301.75</v>
      </c>
    </row>
    <row r="153" spans="1:9" ht="16.5" customHeight="1" thickBot="1" x14ac:dyDescent="0.4">
      <c r="A153" s="1" t="s">
        <v>60</v>
      </c>
      <c r="B153" s="1" t="s">
        <v>17</v>
      </c>
      <c r="C153" s="1" t="s">
        <v>20</v>
      </c>
      <c r="D153" s="1" t="s">
        <v>15</v>
      </c>
      <c r="E153" s="2">
        <v>870.23</v>
      </c>
      <c r="F153" s="2">
        <v>5</v>
      </c>
      <c r="G153" s="2">
        <v>0.05</v>
      </c>
      <c r="H153" s="3">
        <v>45660</v>
      </c>
      <c r="I153" s="2">
        <v>413.36</v>
      </c>
    </row>
    <row r="154" spans="1:9" ht="16.5" customHeight="1" thickBot="1" x14ac:dyDescent="0.4">
      <c r="A154" s="1" t="s">
        <v>35</v>
      </c>
      <c r="B154" s="1" t="s">
        <v>29</v>
      </c>
      <c r="C154" s="1" t="s">
        <v>11</v>
      </c>
      <c r="D154" s="1" t="s">
        <v>27</v>
      </c>
      <c r="E154" s="2">
        <v>862.19</v>
      </c>
      <c r="F154" s="2">
        <v>18</v>
      </c>
      <c r="G154" s="2">
        <v>0.05</v>
      </c>
      <c r="H154" s="3">
        <v>45663</v>
      </c>
      <c r="I154" s="2">
        <v>286.68</v>
      </c>
    </row>
    <row r="155" spans="1:9" ht="16.5" customHeight="1" thickBot="1" x14ac:dyDescent="0.4">
      <c r="A155" s="1" t="s">
        <v>73</v>
      </c>
      <c r="B155" s="1" t="s">
        <v>59</v>
      </c>
      <c r="C155" s="1" t="s">
        <v>24</v>
      </c>
      <c r="D155" s="1" t="s">
        <v>15</v>
      </c>
      <c r="E155" s="2">
        <v>1171.18</v>
      </c>
      <c r="F155" s="2">
        <v>19</v>
      </c>
      <c r="G155" s="2">
        <v>0.05</v>
      </c>
      <c r="H155" s="3">
        <v>45667</v>
      </c>
      <c r="I155" s="2">
        <v>556.30999999999995</v>
      </c>
    </row>
    <row r="156" spans="1:9" ht="16.5" customHeight="1" thickBot="1" x14ac:dyDescent="0.4">
      <c r="A156" s="1" t="s">
        <v>58</v>
      </c>
      <c r="B156" s="1" t="s">
        <v>14</v>
      </c>
      <c r="C156" s="1" t="s">
        <v>20</v>
      </c>
      <c r="D156" s="1" t="s">
        <v>27</v>
      </c>
      <c r="E156" s="2">
        <v>1054.56</v>
      </c>
      <c r="F156" s="2">
        <v>11</v>
      </c>
      <c r="G156" s="2">
        <v>0.1</v>
      </c>
      <c r="H156" s="3">
        <v>45669</v>
      </c>
      <c r="I156" s="2">
        <v>332.19</v>
      </c>
    </row>
    <row r="157" spans="1:9" ht="16.5" customHeight="1" thickBot="1" x14ac:dyDescent="0.4">
      <c r="A157" s="1" t="s">
        <v>58</v>
      </c>
      <c r="B157" s="1" t="s">
        <v>23</v>
      </c>
      <c r="C157" s="1" t="s">
        <v>24</v>
      </c>
      <c r="D157" s="1" t="s">
        <v>21</v>
      </c>
      <c r="E157" s="2">
        <v>1681.21</v>
      </c>
      <c r="F157" s="2">
        <v>5</v>
      </c>
      <c r="G157" s="2">
        <v>0.2</v>
      </c>
      <c r="H157" s="3">
        <v>45670</v>
      </c>
      <c r="I157" s="2">
        <v>336.24</v>
      </c>
    </row>
    <row r="158" spans="1:9" ht="16.5" customHeight="1" thickBot="1" x14ac:dyDescent="0.4">
      <c r="A158" s="1" t="s">
        <v>58</v>
      </c>
      <c r="B158" s="1" t="s">
        <v>36</v>
      </c>
      <c r="C158" s="1" t="s">
        <v>11</v>
      </c>
      <c r="D158" s="1" t="s">
        <v>15</v>
      </c>
      <c r="E158" s="2">
        <v>379.77</v>
      </c>
      <c r="F158" s="2">
        <v>9</v>
      </c>
      <c r="G158" s="2">
        <v>0.05</v>
      </c>
      <c r="H158" s="3">
        <v>45673</v>
      </c>
      <c r="I158" s="2">
        <v>180.39</v>
      </c>
    </row>
    <row r="159" spans="1:9" ht="16.5" customHeight="1" thickBot="1" x14ac:dyDescent="0.4">
      <c r="A159" s="1" t="s">
        <v>44</v>
      </c>
      <c r="B159" s="1" t="s">
        <v>45</v>
      </c>
      <c r="C159" s="1" t="s">
        <v>34</v>
      </c>
      <c r="D159" s="1" t="s">
        <v>15</v>
      </c>
      <c r="E159" s="2">
        <v>1076.33</v>
      </c>
      <c r="F159" s="2">
        <v>2</v>
      </c>
      <c r="G159" s="2">
        <v>0.1</v>
      </c>
      <c r="H159" s="3">
        <v>45674</v>
      </c>
      <c r="I159" s="2">
        <v>484.35</v>
      </c>
    </row>
    <row r="160" spans="1:9" ht="16.5" customHeight="1" thickBot="1" x14ac:dyDescent="0.4">
      <c r="A160" s="1" t="s">
        <v>44</v>
      </c>
      <c r="B160" s="1" t="s">
        <v>31</v>
      </c>
      <c r="C160" s="1" t="s">
        <v>34</v>
      </c>
      <c r="D160" s="1" t="s">
        <v>39</v>
      </c>
      <c r="E160" s="2">
        <v>1250.71</v>
      </c>
      <c r="F160" s="2">
        <v>7</v>
      </c>
      <c r="G160" s="2">
        <v>0</v>
      </c>
      <c r="H160" s="3">
        <v>45674</v>
      </c>
      <c r="I160" s="2">
        <v>562.82000000000005</v>
      </c>
    </row>
    <row r="161" spans="1:9" ht="16.5" customHeight="1" thickBot="1" x14ac:dyDescent="0.4">
      <c r="A161" s="1" t="s">
        <v>40</v>
      </c>
      <c r="B161" s="1" t="s">
        <v>17</v>
      </c>
      <c r="C161" s="1" t="s">
        <v>20</v>
      </c>
      <c r="D161" s="1" t="s">
        <v>15</v>
      </c>
      <c r="E161" s="2">
        <v>1118.3399999999999</v>
      </c>
      <c r="F161" s="2">
        <v>6</v>
      </c>
      <c r="G161" s="2">
        <v>0.2</v>
      </c>
      <c r="H161" s="3">
        <v>45674</v>
      </c>
      <c r="I161" s="2">
        <v>447.34</v>
      </c>
    </row>
    <row r="162" spans="1:9" ht="16.5" customHeight="1" thickBot="1" x14ac:dyDescent="0.4">
      <c r="A162" s="1" t="s">
        <v>70</v>
      </c>
      <c r="B162" s="1" t="s">
        <v>53</v>
      </c>
      <c r="C162" s="1" t="s">
        <v>24</v>
      </c>
      <c r="D162" s="1" t="s">
        <v>15</v>
      </c>
      <c r="E162" s="2">
        <v>1622.62</v>
      </c>
      <c r="F162" s="2">
        <v>12</v>
      </c>
      <c r="G162" s="2">
        <v>0.2</v>
      </c>
      <c r="H162" s="3">
        <v>45677</v>
      </c>
      <c r="I162" s="2">
        <v>649.04999999999995</v>
      </c>
    </row>
    <row r="163" spans="1:9" ht="16.5" customHeight="1" thickBot="1" x14ac:dyDescent="0.4">
      <c r="A163" s="1" t="s">
        <v>75</v>
      </c>
      <c r="B163" s="1" t="s">
        <v>48</v>
      </c>
      <c r="C163" s="1" t="s">
        <v>24</v>
      </c>
      <c r="D163" s="1" t="s">
        <v>12</v>
      </c>
      <c r="E163" s="2">
        <v>640.64</v>
      </c>
      <c r="F163" s="2">
        <v>11</v>
      </c>
      <c r="G163" s="2">
        <v>0.2</v>
      </c>
      <c r="H163" s="3">
        <v>45678</v>
      </c>
      <c r="I163" s="2">
        <v>205</v>
      </c>
    </row>
    <row r="164" spans="1:9" ht="16.5" customHeight="1" thickBot="1" x14ac:dyDescent="0.4">
      <c r="A164" s="1" t="s">
        <v>22</v>
      </c>
      <c r="B164" s="1" t="s">
        <v>43</v>
      </c>
      <c r="C164" s="1" t="s">
        <v>11</v>
      </c>
      <c r="D164" s="1" t="s">
        <v>15</v>
      </c>
      <c r="E164" s="2">
        <v>585.16</v>
      </c>
      <c r="F164" s="2">
        <v>17</v>
      </c>
      <c r="G164" s="2">
        <v>0.1</v>
      </c>
      <c r="H164" s="3">
        <v>45684</v>
      </c>
      <c r="I164" s="2">
        <v>263.32</v>
      </c>
    </row>
    <row r="165" spans="1:9" ht="16.5" customHeight="1" thickBot="1" x14ac:dyDescent="0.4">
      <c r="A165" s="1" t="s">
        <v>22</v>
      </c>
      <c r="B165" s="1" t="s">
        <v>31</v>
      </c>
      <c r="C165" s="1" t="s">
        <v>18</v>
      </c>
      <c r="D165" s="1" t="s">
        <v>15</v>
      </c>
      <c r="E165" s="2">
        <v>1109.98</v>
      </c>
      <c r="F165" s="2">
        <v>5</v>
      </c>
      <c r="G165" s="2">
        <v>0.2</v>
      </c>
      <c r="H165" s="3">
        <v>45690</v>
      </c>
      <c r="I165" s="2">
        <v>443.99</v>
      </c>
    </row>
    <row r="166" spans="1:9" ht="16.5" customHeight="1" thickBot="1" x14ac:dyDescent="0.4">
      <c r="A166" s="1" t="s">
        <v>58</v>
      </c>
      <c r="B166" s="1" t="s">
        <v>45</v>
      </c>
      <c r="C166" s="1" t="s">
        <v>18</v>
      </c>
      <c r="D166" s="1" t="s">
        <v>12</v>
      </c>
      <c r="E166" s="2">
        <v>1098.08</v>
      </c>
      <c r="F166" s="2">
        <v>9</v>
      </c>
      <c r="G166" s="2">
        <v>0.1</v>
      </c>
      <c r="H166" s="3">
        <v>45692</v>
      </c>
      <c r="I166" s="2">
        <v>395.31</v>
      </c>
    </row>
    <row r="167" spans="1:9" ht="16.5" customHeight="1" thickBot="1" x14ac:dyDescent="0.4">
      <c r="A167" s="1" t="s">
        <v>65</v>
      </c>
      <c r="B167" s="1" t="s">
        <v>48</v>
      </c>
      <c r="C167" s="1" t="s">
        <v>11</v>
      </c>
      <c r="D167" s="1" t="s">
        <v>39</v>
      </c>
      <c r="E167" s="2">
        <v>827.25</v>
      </c>
      <c r="F167" s="2">
        <v>7</v>
      </c>
      <c r="G167" s="2">
        <v>0.1</v>
      </c>
      <c r="H167" s="3">
        <v>45693</v>
      </c>
      <c r="I167" s="2">
        <v>335.04</v>
      </c>
    </row>
    <row r="168" spans="1:9" ht="16.5" customHeight="1" thickBot="1" x14ac:dyDescent="0.4">
      <c r="A168" s="1" t="s">
        <v>70</v>
      </c>
      <c r="B168" s="1" t="s">
        <v>29</v>
      </c>
      <c r="C168" s="1" t="s">
        <v>34</v>
      </c>
      <c r="D168" s="1" t="s">
        <v>15</v>
      </c>
      <c r="E168" s="2">
        <v>741.88</v>
      </c>
      <c r="F168" s="2">
        <v>16</v>
      </c>
      <c r="G168" s="2">
        <v>0.1</v>
      </c>
      <c r="H168" s="3">
        <v>45695</v>
      </c>
      <c r="I168" s="2">
        <v>333.85</v>
      </c>
    </row>
    <row r="169" spans="1:9" ht="16.5" customHeight="1" thickBot="1" x14ac:dyDescent="0.4">
      <c r="A169" s="1" t="s">
        <v>72</v>
      </c>
      <c r="B169" s="1" t="s">
        <v>10</v>
      </c>
      <c r="C169" s="1" t="s">
        <v>18</v>
      </c>
      <c r="D169" s="1" t="s">
        <v>39</v>
      </c>
      <c r="E169" s="2">
        <v>1311.26</v>
      </c>
      <c r="F169" s="2">
        <v>6</v>
      </c>
      <c r="G169" s="2">
        <v>0.1</v>
      </c>
      <c r="H169" s="3">
        <v>45698</v>
      </c>
      <c r="I169" s="2">
        <v>531.05999999999995</v>
      </c>
    </row>
    <row r="170" spans="1:9" ht="16.5" customHeight="1" thickBot="1" x14ac:dyDescent="0.4">
      <c r="A170" s="1" t="s">
        <v>72</v>
      </c>
      <c r="B170" s="1" t="s">
        <v>31</v>
      </c>
      <c r="C170" s="1" t="s">
        <v>20</v>
      </c>
      <c r="D170" s="1" t="s">
        <v>39</v>
      </c>
      <c r="E170" s="2">
        <v>573.32000000000005</v>
      </c>
      <c r="F170" s="2">
        <v>19</v>
      </c>
      <c r="G170" s="2">
        <v>0.1</v>
      </c>
      <c r="H170" s="3">
        <v>45703</v>
      </c>
      <c r="I170" s="2">
        <v>232.19</v>
      </c>
    </row>
    <row r="171" spans="1:9" ht="16.5" customHeight="1" thickBot="1" x14ac:dyDescent="0.4">
      <c r="A171" s="1" t="s">
        <v>52</v>
      </c>
      <c r="B171" s="1" t="s">
        <v>23</v>
      </c>
      <c r="C171" s="1" t="s">
        <v>11</v>
      </c>
      <c r="D171" s="1" t="s">
        <v>21</v>
      </c>
      <c r="E171" s="2">
        <v>1115.22</v>
      </c>
      <c r="F171" s="2">
        <v>14</v>
      </c>
      <c r="G171" s="2">
        <v>0.2</v>
      </c>
      <c r="H171" s="3">
        <v>45705</v>
      </c>
      <c r="I171" s="2">
        <v>223.04</v>
      </c>
    </row>
    <row r="172" spans="1:9" ht="16.5" customHeight="1" thickBot="1" x14ac:dyDescent="0.4">
      <c r="A172" s="1" t="s">
        <v>13</v>
      </c>
      <c r="B172" s="1" t="s">
        <v>45</v>
      </c>
      <c r="C172" s="1" t="s">
        <v>24</v>
      </c>
      <c r="D172" s="1" t="s">
        <v>15</v>
      </c>
      <c r="E172" s="2">
        <v>845.84</v>
      </c>
      <c r="F172" s="2">
        <v>4</v>
      </c>
      <c r="G172" s="2">
        <v>0</v>
      </c>
      <c r="H172" s="3">
        <v>45707</v>
      </c>
      <c r="I172" s="2">
        <v>422.92</v>
      </c>
    </row>
    <row r="173" spans="1:9" ht="16.5" customHeight="1" thickBot="1" x14ac:dyDescent="0.4">
      <c r="A173" s="1" t="s">
        <v>30</v>
      </c>
      <c r="B173" s="1" t="s">
        <v>55</v>
      </c>
      <c r="C173" s="1" t="s">
        <v>11</v>
      </c>
      <c r="D173" s="1" t="s">
        <v>21</v>
      </c>
      <c r="E173" s="2">
        <v>1029.8</v>
      </c>
      <c r="F173" s="2">
        <v>3</v>
      </c>
      <c r="G173" s="2">
        <v>0</v>
      </c>
      <c r="H173" s="3">
        <v>45708</v>
      </c>
      <c r="I173" s="2">
        <v>257.45</v>
      </c>
    </row>
    <row r="174" spans="1:9" ht="16.5" customHeight="1" thickBot="1" x14ac:dyDescent="0.4">
      <c r="A174" s="1" t="s">
        <v>32</v>
      </c>
      <c r="B174" s="1" t="s">
        <v>31</v>
      </c>
      <c r="C174" s="1" t="s">
        <v>24</v>
      </c>
      <c r="D174" s="1" t="s">
        <v>12</v>
      </c>
      <c r="E174" s="2">
        <v>1189.83</v>
      </c>
      <c r="F174" s="2">
        <v>2</v>
      </c>
      <c r="G174" s="2">
        <v>0.2</v>
      </c>
      <c r="H174" s="3">
        <v>45709</v>
      </c>
      <c r="I174" s="2">
        <v>380.75</v>
      </c>
    </row>
    <row r="175" spans="1:9" ht="16.5" customHeight="1" thickBot="1" x14ac:dyDescent="0.4">
      <c r="A175" s="1" t="s">
        <v>67</v>
      </c>
      <c r="B175" s="1" t="s">
        <v>43</v>
      </c>
      <c r="C175" s="1" t="s">
        <v>20</v>
      </c>
      <c r="D175" s="1" t="s">
        <v>12</v>
      </c>
      <c r="E175" s="2">
        <v>704.28</v>
      </c>
      <c r="F175" s="2">
        <v>15</v>
      </c>
      <c r="G175" s="2">
        <v>0.2</v>
      </c>
      <c r="H175" s="3">
        <v>45712</v>
      </c>
      <c r="I175" s="2">
        <v>225.37</v>
      </c>
    </row>
    <row r="176" spans="1:9" ht="16.5" customHeight="1" thickBot="1" x14ac:dyDescent="0.4">
      <c r="A176" s="1" t="s">
        <v>65</v>
      </c>
      <c r="B176" s="1" t="s">
        <v>47</v>
      </c>
      <c r="C176" s="1" t="s">
        <v>34</v>
      </c>
      <c r="D176" s="1" t="s">
        <v>39</v>
      </c>
      <c r="E176" s="2">
        <v>1618.22</v>
      </c>
      <c r="F176" s="2">
        <v>12</v>
      </c>
      <c r="G176" s="2">
        <v>0.2</v>
      </c>
      <c r="H176" s="3">
        <v>45712</v>
      </c>
      <c r="I176" s="2">
        <v>582.55999999999995</v>
      </c>
    </row>
    <row r="177" spans="1:9" ht="16.5" customHeight="1" thickBot="1" x14ac:dyDescent="0.4">
      <c r="A177" s="1" t="s">
        <v>73</v>
      </c>
      <c r="B177" s="1" t="s">
        <v>53</v>
      </c>
      <c r="C177" s="1" t="s">
        <v>34</v>
      </c>
      <c r="D177" s="1" t="s">
        <v>12</v>
      </c>
      <c r="E177" s="2">
        <v>1014.43</v>
      </c>
      <c r="F177" s="2">
        <v>2</v>
      </c>
      <c r="G177" s="2">
        <v>0.15</v>
      </c>
      <c r="H177" s="3">
        <v>45713</v>
      </c>
      <c r="I177" s="2">
        <v>344.91</v>
      </c>
    </row>
    <row r="178" spans="1:9" ht="16.5" customHeight="1" thickBot="1" x14ac:dyDescent="0.4">
      <c r="A178" s="1" t="s">
        <v>75</v>
      </c>
      <c r="B178" s="1" t="s">
        <v>31</v>
      </c>
      <c r="C178" s="1" t="s">
        <v>34</v>
      </c>
      <c r="D178" s="1" t="s">
        <v>15</v>
      </c>
      <c r="E178" s="2">
        <v>826.97</v>
      </c>
      <c r="F178" s="2">
        <v>18</v>
      </c>
      <c r="G178" s="2">
        <v>0.2</v>
      </c>
      <c r="H178" s="3">
        <v>45715</v>
      </c>
      <c r="I178" s="2">
        <v>330.79</v>
      </c>
    </row>
    <row r="179" spans="1:9" ht="16.5" customHeight="1" thickBot="1" x14ac:dyDescent="0.4">
      <c r="A179" s="1" t="s">
        <v>16</v>
      </c>
      <c r="B179" s="1" t="s">
        <v>31</v>
      </c>
      <c r="C179" s="1" t="s">
        <v>34</v>
      </c>
      <c r="D179" s="1" t="s">
        <v>15</v>
      </c>
      <c r="E179" s="2">
        <v>1022.23</v>
      </c>
      <c r="F179" s="2">
        <v>8</v>
      </c>
      <c r="G179" s="2">
        <v>0.1</v>
      </c>
      <c r="H179" s="3">
        <v>45717</v>
      </c>
      <c r="I179" s="2">
        <v>460</v>
      </c>
    </row>
    <row r="180" spans="1:9" ht="16.5" customHeight="1" thickBot="1" x14ac:dyDescent="0.4">
      <c r="A180" s="1" t="s">
        <v>72</v>
      </c>
      <c r="B180" s="1" t="s">
        <v>29</v>
      </c>
      <c r="C180" s="1" t="s">
        <v>18</v>
      </c>
      <c r="D180" s="1" t="s">
        <v>12</v>
      </c>
      <c r="E180" s="2">
        <v>1099.69</v>
      </c>
      <c r="F180" s="2">
        <v>6</v>
      </c>
      <c r="G180" s="2">
        <v>0</v>
      </c>
      <c r="H180" s="3">
        <v>45718</v>
      </c>
      <c r="I180" s="2">
        <v>439.88</v>
      </c>
    </row>
    <row r="181" spans="1:9" ht="16.5" customHeight="1" thickBot="1" x14ac:dyDescent="0.4">
      <c r="A181" s="1" t="s">
        <v>52</v>
      </c>
      <c r="B181" s="1" t="s">
        <v>64</v>
      </c>
      <c r="C181" s="1" t="s">
        <v>24</v>
      </c>
      <c r="D181" s="1" t="s">
        <v>12</v>
      </c>
      <c r="E181" s="2">
        <v>710.52</v>
      </c>
      <c r="F181" s="2">
        <v>8</v>
      </c>
      <c r="G181" s="2">
        <v>0.1</v>
      </c>
      <c r="H181" s="3">
        <v>45721</v>
      </c>
      <c r="I181" s="2">
        <v>255.79</v>
      </c>
    </row>
    <row r="182" spans="1:9" ht="16.5" customHeight="1" thickBot="1" x14ac:dyDescent="0.4">
      <c r="A182" s="1" t="s">
        <v>52</v>
      </c>
      <c r="B182" s="1" t="s">
        <v>59</v>
      </c>
      <c r="C182" s="1" t="s">
        <v>24</v>
      </c>
      <c r="D182" s="1" t="s">
        <v>12</v>
      </c>
      <c r="E182" s="2">
        <v>499.18</v>
      </c>
      <c r="F182" s="2">
        <v>15</v>
      </c>
      <c r="G182" s="2">
        <v>0.2</v>
      </c>
      <c r="H182" s="3">
        <v>45724</v>
      </c>
      <c r="I182" s="2">
        <v>159.74</v>
      </c>
    </row>
    <row r="183" spans="1:9" ht="16.5" customHeight="1" thickBot="1" x14ac:dyDescent="0.4">
      <c r="A183" s="1" t="s">
        <v>37</v>
      </c>
      <c r="B183" s="1" t="s">
        <v>38</v>
      </c>
      <c r="C183" s="1" t="s">
        <v>20</v>
      </c>
      <c r="D183" s="1" t="s">
        <v>12</v>
      </c>
      <c r="E183" s="2">
        <v>1064.19</v>
      </c>
      <c r="F183" s="2">
        <v>18</v>
      </c>
      <c r="G183" s="2">
        <v>0.05</v>
      </c>
      <c r="H183" s="3">
        <v>45725</v>
      </c>
      <c r="I183" s="2">
        <v>404.39</v>
      </c>
    </row>
    <row r="184" spans="1:9" ht="16.5" customHeight="1" thickBot="1" x14ac:dyDescent="0.4">
      <c r="A184" s="1" t="s">
        <v>67</v>
      </c>
      <c r="B184" s="1" t="s">
        <v>38</v>
      </c>
      <c r="C184" s="1" t="s">
        <v>18</v>
      </c>
      <c r="D184" s="1" t="s">
        <v>39</v>
      </c>
      <c r="E184" s="2">
        <v>438.76</v>
      </c>
      <c r="F184" s="2">
        <v>18</v>
      </c>
      <c r="G184" s="2">
        <v>0.05</v>
      </c>
      <c r="H184" s="3">
        <v>45726</v>
      </c>
      <c r="I184" s="2">
        <v>187.57</v>
      </c>
    </row>
    <row r="185" spans="1:9" ht="16.5" customHeight="1" thickBot="1" x14ac:dyDescent="0.4">
      <c r="A185" s="1" t="s">
        <v>41</v>
      </c>
      <c r="B185" s="1" t="s">
        <v>55</v>
      </c>
      <c r="C185" s="1" t="s">
        <v>11</v>
      </c>
      <c r="D185" s="1" t="s">
        <v>15</v>
      </c>
      <c r="E185" s="2">
        <v>864.98</v>
      </c>
      <c r="F185" s="2">
        <v>2</v>
      </c>
      <c r="G185" s="2">
        <v>0.05</v>
      </c>
      <c r="H185" s="3">
        <v>45727</v>
      </c>
      <c r="I185" s="2">
        <v>410.87</v>
      </c>
    </row>
    <row r="186" spans="1:9" ht="16.5" customHeight="1" thickBot="1" x14ac:dyDescent="0.4">
      <c r="A186" s="1" t="s">
        <v>57</v>
      </c>
      <c r="B186" s="1" t="s">
        <v>55</v>
      </c>
      <c r="C186" s="1" t="s">
        <v>11</v>
      </c>
      <c r="D186" s="1" t="s">
        <v>27</v>
      </c>
      <c r="E186" s="2">
        <v>984.93</v>
      </c>
      <c r="F186" s="2">
        <v>14</v>
      </c>
      <c r="G186" s="2">
        <v>0.2</v>
      </c>
      <c r="H186" s="3">
        <v>45733</v>
      </c>
      <c r="I186" s="2">
        <v>275.77999999999997</v>
      </c>
    </row>
    <row r="187" spans="1:9" ht="16.5" customHeight="1" thickBot="1" x14ac:dyDescent="0.4">
      <c r="A187" s="1" t="s">
        <v>25</v>
      </c>
      <c r="B187" s="1" t="s">
        <v>55</v>
      </c>
      <c r="C187" s="1" t="s">
        <v>11</v>
      </c>
      <c r="D187" s="1" t="s">
        <v>15</v>
      </c>
      <c r="E187" s="2">
        <v>1493.49</v>
      </c>
      <c r="F187" s="2">
        <v>18</v>
      </c>
      <c r="G187" s="2">
        <v>0</v>
      </c>
      <c r="H187" s="3">
        <v>45734</v>
      </c>
      <c r="I187" s="2">
        <v>746.74</v>
      </c>
    </row>
    <row r="188" spans="1:9" ht="16.5" customHeight="1" thickBot="1" x14ac:dyDescent="0.4">
      <c r="A188" s="1" t="s">
        <v>32</v>
      </c>
      <c r="B188" s="1" t="s">
        <v>53</v>
      </c>
      <c r="C188" s="1" t="s">
        <v>20</v>
      </c>
      <c r="D188" s="1" t="s">
        <v>15</v>
      </c>
      <c r="E188" s="2">
        <v>689.43</v>
      </c>
      <c r="F188" s="2">
        <v>9</v>
      </c>
      <c r="G188" s="2">
        <v>0.1</v>
      </c>
      <c r="H188" s="3">
        <v>45736</v>
      </c>
      <c r="I188" s="2">
        <v>310.24</v>
      </c>
    </row>
    <row r="189" spans="1:9" ht="16.5" customHeight="1" thickBot="1" x14ac:dyDescent="0.4">
      <c r="A189" s="1" t="s">
        <v>40</v>
      </c>
      <c r="B189" s="1" t="s">
        <v>59</v>
      </c>
      <c r="C189" s="1" t="s">
        <v>20</v>
      </c>
      <c r="D189" s="1" t="s">
        <v>15</v>
      </c>
      <c r="E189" s="2">
        <v>682.24</v>
      </c>
      <c r="F189" s="2">
        <v>1</v>
      </c>
      <c r="G189" s="2">
        <v>0</v>
      </c>
      <c r="H189" s="3">
        <v>45738</v>
      </c>
      <c r="I189" s="2">
        <v>341.12</v>
      </c>
    </row>
    <row r="190" spans="1:9" ht="16.5" customHeight="1" thickBot="1" x14ac:dyDescent="0.4">
      <c r="A190" s="1" t="s">
        <v>41</v>
      </c>
      <c r="B190" s="1" t="s">
        <v>26</v>
      </c>
      <c r="C190" s="1" t="s">
        <v>24</v>
      </c>
      <c r="D190" s="1" t="s">
        <v>21</v>
      </c>
      <c r="E190" s="2">
        <v>458.54</v>
      </c>
      <c r="F190" s="2">
        <v>15</v>
      </c>
      <c r="G190" s="2">
        <v>0.2</v>
      </c>
      <c r="H190" s="3">
        <v>45741</v>
      </c>
      <c r="I190" s="2">
        <v>91.71</v>
      </c>
    </row>
    <row r="191" spans="1:9" ht="16.5" customHeight="1" thickBot="1" x14ac:dyDescent="0.4">
      <c r="A191" s="1" t="s">
        <v>32</v>
      </c>
      <c r="B191" s="1" t="s">
        <v>26</v>
      </c>
      <c r="C191" s="1" t="s">
        <v>20</v>
      </c>
      <c r="D191" s="1" t="s">
        <v>27</v>
      </c>
      <c r="E191" s="2">
        <v>1184.25</v>
      </c>
      <c r="F191" s="2">
        <v>11</v>
      </c>
      <c r="G191" s="2">
        <v>0.2</v>
      </c>
      <c r="H191" s="3">
        <v>45742</v>
      </c>
      <c r="I191" s="2">
        <v>331.59</v>
      </c>
    </row>
    <row r="192" spans="1:9" ht="16.5" customHeight="1" thickBot="1" x14ac:dyDescent="0.4">
      <c r="A192" s="1" t="s">
        <v>25</v>
      </c>
      <c r="B192" s="1" t="s">
        <v>10</v>
      </c>
      <c r="C192" s="1" t="s">
        <v>20</v>
      </c>
      <c r="D192" s="1" t="s">
        <v>15</v>
      </c>
      <c r="E192" s="2">
        <v>762.14</v>
      </c>
      <c r="F192" s="2">
        <v>9</v>
      </c>
      <c r="G192" s="2">
        <v>0</v>
      </c>
      <c r="H192" s="3">
        <v>45743</v>
      </c>
      <c r="I192" s="2">
        <v>381.07</v>
      </c>
    </row>
    <row r="193" spans="1:9" ht="16.5" customHeight="1" thickBot="1" x14ac:dyDescent="0.4">
      <c r="A193" s="1" t="s">
        <v>22</v>
      </c>
      <c r="B193" s="1" t="s">
        <v>53</v>
      </c>
      <c r="C193" s="1" t="s">
        <v>24</v>
      </c>
      <c r="D193" s="1" t="s">
        <v>12</v>
      </c>
      <c r="E193" s="2">
        <v>750.71</v>
      </c>
      <c r="F193" s="2">
        <v>10</v>
      </c>
      <c r="G193" s="2">
        <v>0.15</v>
      </c>
      <c r="H193" s="3">
        <v>45743</v>
      </c>
      <c r="I193" s="2">
        <v>255.24</v>
      </c>
    </row>
    <row r="194" spans="1:9" ht="16.5" customHeight="1" thickBot="1" x14ac:dyDescent="0.4">
      <c r="A194" s="1" t="s">
        <v>75</v>
      </c>
      <c r="B194" s="1" t="s">
        <v>71</v>
      </c>
      <c r="C194" s="1" t="s">
        <v>34</v>
      </c>
      <c r="D194" s="1" t="s">
        <v>15</v>
      </c>
      <c r="E194" s="2">
        <v>1456.94</v>
      </c>
      <c r="F194" s="2">
        <v>14</v>
      </c>
      <c r="G194" s="2">
        <v>0.05</v>
      </c>
      <c r="H194" s="3">
        <v>45745</v>
      </c>
      <c r="I194" s="2">
        <v>692.05</v>
      </c>
    </row>
    <row r="195" spans="1:9" ht="16.5" customHeight="1" thickBot="1" x14ac:dyDescent="0.4">
      <c r="A195" s="1" t="s">
        <v>44</v>
      </c>
      <c r="B195" s="1" t="s">
        <v>61</v>
      </c>
      <c r="C195" s="1" t="s">
        <v>18</v>
      </c>
      <c r="D195" s="1" t="s">
        <v>27</v>
      </c>
      <c r="E195" s="2">
        <v>1093.3800000000001</v>
      </c>
      <c r="F195" s="2">
        <v>17</v>
      </c>
      <c r="G195" s="2">
        <v>0.1</v>
      </c>
      <c r="H195" s="3">
        <v>45745</v>
      </c>
      <c r="I195" s="2">
        <v>344.41</v>
      </c>
    </row>
    <row r="196" spans="1:9" ht="16.5" customHeight="1" thickBot="1" x14ac:dyDescent="0.4">
      <c r="A196" s="1" t="s">
        <v>37</v>
      </c>
      <c r="B196" s="1" t="s">
        <v>43</v>
      </c>
      <c r="C196" s="1" t="s">
        <v>11</v>
      </c>
      <c r="D196" s="1" t="s">
        <v>15</v>
      </c>
      <c r="E196" s="2">
        <v>934.27</v>
      </c>
      <c r="F196" s="2">
        <v>8</v>
      </c>
      <c r="G196" s="2">
        <v>0.15</v>
      </c>
      <c r="H196" s="3">
        <v>45746</v>
      </c>
      <c r="I196" s="2">
        <v>397.06</v>
      </c>
    </row>
    <row r="197" spans="1:9" ht="16.5" customHeight="1" thickBot="1" x14ac:dyDescent="0.4">
      <c r="A197" s="1" t="s">
        <v>70</v>
      </c>
      <c r="B197" s="1" t="s">
        <v>36</v>
      </c>
      <c r="C197" s="1" t="s">
        <v>34</v>
      </c>
      <c r="D197" s="1" t="s">
        <v>15</v>
      </c>
      <c r="E197" s="2">
        <v>1465.35</v>
      </c>
      <c r="F197" s="2">
        <v>8</v>
      </c>
      <c r="G197" s="2">
        <v>0.2</v>
      </c>
      <c r="H197" s="3">
        <v>45746</v>
      </c>
      <c r="I197" s="2">
        <v>586.14</v>
      </c>
    </row>
    <row r="198" spans="1:9" ht="16.5" customHeight="1" thickBot="1" x14ac:dyDescent="0.4">
      <c r="A198" s="1" t="s">
        <v>52</v>
      </c>
      <c r="B198" s="1" t="s">
        <v>14</v>
      </c>
      <c r="C198" s="1" t="s">
        <v>20</v>
      </c>
      <c r="D198" s="1" t="s">
        <v>39</v>
      </c>
      <c r="E198" s="2">
        <v>740.8</v>
      </c>
      <c r="F198" s="2">
        <v>3</v>
      </c>
      <c r="G198" s="2">
        <v>0</v>
      </c>
      <c r="H198" s="3">
        <v>45749</v>
      </c>
      <c r="I198" s="2">
        <v>333.36</v>
      </c>
    </row>
    <row r="199" spans="1:9" ht="16.5" customHeight="1" thickBot="1" x14ac:dyDescent="0.4">
      <c r="A199" s="1" t="s">
        <v>58</v>
      </c>
      <c r="B199" s="1" t="s">
        <v>43</v>
      </c>
      <c r="C199" s="1" t="s">
        <v>11</v>
      </c>
      <c r="D199" s="1" t="s">
        <v>39</v>
      </c>
      <c r="E199" s="2">
        <v>545.44000000000005</v>
      </c>
      <c r="F199" s="2">
        <v>17</v>
      </c>
      <c r="G199" s="2">
        <v>0</v>
      </c>
      <c r="H199" s="3">
        <v>45752</v>
      </c>
      <c r="I199" s="2">
        <v>245.45</v>
      </c>
    </row>
    <row r="200" spans="1:9" ht="16.5" customHeight="1" thickBot="1" x14ac:dyDescent="0.4">
      <c r="A200" s="1" t="s">
        <v>35</v>
      </c>
      <c r="B200" s="1" t="s">
        <v>36</v>
      </c>
      <c r="C200" s="1" t="s">
        <v>18</v>
      </c>
      <c r="D200" s="1" t="s">
        <v>12</v>
      </c>
      <c r="E200" s="2">
        <v>997.61</v>
      </c>
      <c r="F200" s="2">
        <v>8</v>
      </c>
      <c r="G200" s="2">
        <v>0.05</v>
      </c>
      <c r="H200" s="3">
        <v>45752</v>
      </c>
      <c r="I200" s="2">
        <v>379.09</v>
      </c>
    </row>
    <row r="201" spans="1:9" ht="16.5" customHeight="1" thickBot="1" x14ac:dyDescent="0.4">
      <c r="A201" s="1" t="s">
        <v>60</v>
      </c>
      <c r="B201" s="1" t="s">
        <v>36</v>
      </c>
      <c r="C201" s="1" t="s">
        <v>20</v>
      </c>
      <c r="D201" s="1" t="s">
        <v>15</v>
      </c>
      <c r="E201" s="2">
        <v>928.32</v>
      </c>
      <c r="F201" s="2">
        <v>2</v>
      </c>
      <c r="G201" s="2">
        <v>0.05</v>
      </c>
      <c r="H201" s="3">
        <v>45754</v>
      </c>
      <c r="I201" s="2">
        <v>440.95</v>
      </c>
    </row>
    <row r="202" spans="1:9" x14ac:dyDescent="0.35">
      <c r="I202">
        <f>SUM(I2:I201)</f>
        <v>68287.010000000009</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4492-5AF5-4023-8CFA-56A1BBA76C69}">
  <dimension ref="A1:M201"/>
  <sheetViews>
    <sheetView topLeftCell="B184" workbookViewId="0">
      <selection activeCell="B1" sqref="B1:I201"/>
    </sheetView>
  </sheetViews>
  <sheetFormatPr defaultRowHeight="14.5" x14ac:dyDescent="0.35"/>
  <cols>
    <col min="1" max="1" width="12.26953125" customWidth="1"/>
    <col min="2" max="2" width="16" customWidth="1"/>
    <col min="4" max="4" width="15.81640625" customWidth="1"/>
    <col min="8" max="8" width="11.1796875" customWidth="1"/>
    <col min="12" max="12" width="17.26953125" bestFit="1" customWidth="1"/>
    <col min="13" max="13" width="11.26953125" bestFit="1" customWidth="1"/>
  </cols>
  <sheetData>
    <row r="1" spans="1:13" ht="17" customHeight="1" x14ac:dyDescent="0.35">
      <c r="A1" s="44" t="s">
        <v>0</v>
      </c>
      <c r="B1" s="44" t="s">
        <v>1</v>
      </c>
      <c r="C1" s="44" t="s">
        <v>2</v>
      </c>
      <c r="D1" s="44" t="s">
        <v>3</v>
      </c>
      <c r="E1" s="44" t="s">
        <v>4</v>
      </c>
      <c r="F1" s="44" t="s">
        <v>5</v>
      </c>
      <c r="G1" s="44" t="s">
        <v>6</v>
      </c>
      <c r="H1" s="44" t="s">
        <v>7</v>
      </c>
      <c r="I1" s="44" t="s">
        <v>8</v>
      </c>
    </row>
    <row r="2" spans="1:13" ht="17" customHeight="1" x14ac:dyDescent="0.35">
      <c r="A2" s="45" t="s">
        <v>9</v>
      </c>
      <c r="B2" s="45" t="s">
        <v>10</v>
      </c>
      <c r="C2" s="45" t="s">
        <v>11</v>
      </c>
      <c r="D2" s="45" t="s">
        <v>12</v>
      </c>
      <c r="E2" s="45">
        <v>1036.0899999999999</v>
      </c>
      <c r="F2" s="45">
        <v>4</v>
      </c>
      <c r="G2" s="45">
        <v>0.2</v>
      </c>
      <c r="H2" s="46">
        <v>45392</v>
      </c>
      <c r="I2" s="45">
        <v>331.55</v>
      </c>
      <c r="L2" s="19" t="s">
        <v>77</v>
      </c>
      <c r="M2" t="s">
        <v>79</v>
      </c>
    </row>
    <row r="3" spans="1:13" ht="17" customHeight="1" x14ac:dyDescent="0.35">
      <c r="A3" s="45" t="s">
        <v>13</v>
      </c>
      <c r="B3" s="45" t="s">
        <v>14</v>
      </c>
      <c r="C3" s="45" t="s">
        <v>11</v>
      </c>
      <c r="D3" s="45" t="s">
        <v>15</v>
      </c>
      <c r="E3" s="45">
        <v>1101.28</v>
      </c>
      <c r="F3" s="45">
        <v>3</v>
      </c>
      <c r="G3" s="45">
        <v>0.2</v>
      </c>
      <c r="H3" s="46">
        <v>45393</v>
      </c>
      <c r="I3" s="45">
        <v>440.51</v>
      </c>
      <c r="L3" s="22" t="s">
        <v>34</v>
      </c>
      <c r="M3" s="18">
        <v>43468.33</v>
      </c>
    </row>
    <row r="4" spans="1:13" ht="17" customHeight="1" x14ac:dyDescent="0.35">
      <c r="A4" s="45" t="s">
        <v>16</v>
      </c>
      <c r="B4" s="45" t="s">
        <v>17</v>
      </c>
      <c r="C4" s="45" t="s">
        <v>18</v>
      </c>
      <c r="D4" s="45" t="s">
        <v>12</v>
      </c>
      <c r="E4" s="45">
        <v>713.34</v>
      </c>
      <c r="F4" s="45">
        <v>17</v>
      </c>
      <c r="G4" s="45">
        <v>0</v>
      </c>
      <c r="H4" s="46">
        <v>45396</v>
      </c>
      <c r="I4" s="45">
        <v>285.33999999999997</v>
      </c>
      <c r="L4" s="47" t="s">
        <v>12</v>
      </c>
      <c r="M4" s="18">
        <v>11297.150000000001</v>
      </c>
    </row>
    <row r="5" spans="1:13" ht="17" customHeight="1" x14ac:dyDescent="0.35">
      <c r="A5" s="45" t="s">
        <v>19</v>
      </c>
      <c r="B5" s="45" t="s">
        <v>14</v>
      </c>
      <c r="C5" s="45" t="s">
        <v>20</v>
      </c>
      <c r="D5" s="45" t="s">
        <v>21</v>
      </c>
      <c r="E5" s="45">
        <v>760.93</v>
      </c>
      <c r="F5" s="45">
        <v>4</v>
      </c>
      <c r="G5" s="45">
        <v>0.15</v>
      </c>
      <c r="H5" s="46">
        <v>45396</v>
      </c>
      <c r="I5" s="45">
        <v>161.69999999999999</v>
      </c>
      <c r="L5" s="47" t="s">
        <v>15</v>
      </c>
      <c r="M5" s="18">
        <v>12200.26</v>
      </c>
    </row>
    <row r="6" spans="1:13" ht="17" customHeight="1" x14ac:dyDescent="0.35">
      <c r="A6" s="45" t="s">
        <v>22</v>
      </c>
      <c r="B6" s="45" t="s">
        <v>23</v>
      </c>
      <c r="C6" s="45" t="s">
        <v>24</v>
      </c>
      <c r="D6" s="45" t="s">
        <v>12</v>
      </c>
      <c r="E6" s="45">
        <v>847</v>
      </c>
      <c r="F6" s="45">
        <v>12</v>
      </c>
      <c r="G6" s="45">
        <v>0.2</v>
      </c>
      <c r="H6" s="46">
        <v>45397</v>
      </c>
      <c r="I6" s="45">
        <v>271.04000000000002</v>
      </c>
      <c r="L6" s="47" t="s">
        <v>21</v>
      </c>
      <c r="M6" s="18">
        <v>6621.24</v>
      </c>
    </row>
    <row r="7" spans="1:13" ht="17" customHeight="1" x14ac:dyDescent="0.35">
      <c r="A7" s="45" t="s">
        <v>25</v>
      </c>
      <c r="B7" s="45" t="s">
        <v>26</v>
      </c>
      <c r="C7" s="45" t="s">
        <v>24</v>
      </c>
      <c r="D7" s="45" t="s">
        <v>27</v>
      </c>
      <c r="E7" s="45">
        <v>965.64</v>
      </c>
      <c r="F7" s="45">
        <v>8</v>
      </c>
      <c r="G7" s="45">
        <v>0.1</v>
      </c>
      <c r="H7" s="46">
        <v>45398</v>
      </c>
      <c r="I7" s="45">
        <v>304.18</v>
      </c>
      <c r="L7" s="47" t="s">
        <v>27</v>
      </c>
      <c r="M7" s="18">
        <v>4876.96</v>
      </c>
    </row>
    <row r="8" spans="1:13" ht="17" customHeight="1" x14ac:dyDescent="0.35">
      <c r="A8" s="45" t="s">
        <v>28</v>
      </c>
      <c r="B8" s="45" t="s">
        <v>29</v>
      </c>
      <c r="C8" s="45" t="s">
        <v>11</v>
      </c>
      <c r="D8" s="45" t="s">
        <v>21</v>
      </c>
      <c r="E8" s="45">
        <v>1317.53</v>
      </c>
      <c r="F8" s="45">
        <v>12</v>
      </c>
      <c r="G8" s="45">
        <v>0.05</v>
      </c>
      <c r="H8" s="46">
        <v>45398</v>
      </c>
      <c r="I8" s="45">
        <v>312.91000000000003</v>
      </c>
      <c r="L8" s="47" t="s">
        <v>39</v>
      </c>
      <c r="M8" s="18">
        <v>8472.7199999999993</v>
      </c>
    </row>
    <row r="9" spans="1:13" ht="17" customHeight="1" x14ac:dyDescent="0.35">
      <c r="A9" s="45" t="s">
        <v>30</v>
      </c>
      <c r="B9" s="45" t="s">
        <v>31</v>
      </c>
      <c r="C9" s="45" t="s">
        <v>18</v>
      </c>
      <c r="D9" s="45" t="s">
        <v>27</v>
      </c>
      <c r="E9" s="45">
        <v>1074.47</v>
      </c>
      <c r="F9" s="45">
        <v>6</v>
      </c>
      <c r="G9" s="45">
        <v>0.2</v>
      </c>
      <c r="H9" s="46">
        <v>45401</v>
      </c>
      <c r="I9" s="45">
        <v>300.85000000000002</v>
      </c>
      <c r="L9" s="22" t="s">
        <v>18</v>
      </c>
      <c r="M9" s="18">
        <v>32441.640000000003</v>
      </c>
    </row>
    <row r="10" spans="1:13" ht="17" customHeight="1" x14ac:dyDescent="0.35">
      <c r="A10" s="45" t="s">
        <v>32</v>
      </c>
      <c r="B10" s="45" t="s">
        <v>33</v>
      </c>
      <c r="C10" s="45" t="s">
        <v>34</v>
      </c>
      <c r="D10" s="45" t="s">
        <v>12</v>
      </c>
      <c r="E10" s="45">
        <v>501.54</v>
      </c>
      <c r="F10" s="45">
        <v>11</v>
      </c>
      <c r="G10" s="45">
        <v>0.05</v>
      </c>
      <c r="H10" s="46">
        <v>45401</v>
      </c>
      <c r="I10" s="45">
        <v>190.59</v>
      </c>
      <c r="L10" s="47" t="s">
        <v>12</v>
      </c>
      <c r="M10" s="18">
        <v>11389.090000000002</v>
      </c>
    </row>
    <row r="11" spans="1:13" ht="17" customHeight="1" x14ac:dyDescent="0.35">
      <c r="A11" s="45" t="s">
        <v>35</v>
      </c>
      <c r="B11" s="45" t="s">
        <v>36</v>
      </c>
      <c r="C11" s="45" t="s">
        <v>34</v>
      </c>
      <c r="D11" s="45" t="s">
        <v>15</v>
      </c>
      <c r="E11" s="45">
        <v>737.31</v>
      </c>
      <c r="F11" s="45">
        <v>2</v>
      </c>
      <c r="G11" s="45">
        <v>0.05</v>
      </c>
      <c r="H11" s="46">
        <v>45401</v>
      </c>
      <c r="I11" s="45">
        <v>350.22</v>
      </c>
      <c r="L11" s="47" t="s">
        <v>15</v>
      </c>
      <c r="M11" s="18">
        <v>2401.4499999999998</v>
      </c>
    </row>
    <row r="12" spans="1:13" ht="17" customHeight="1" x14ac:dyDescent="0.35">
      <c r="A12" s="45" t="s">
        <v>37</v>
      </c>
      <c r="B12" s="45" t="s">
        <v>38</v>
      </c>
      <c r="C12" s="45" t="s">
        <v>11</v>
      </c>
      <c r="D12" s="45" t="s">
        <v>39</v>
      </c>
      <c r="E12" s="45">
        <v>1572.82</v>
      </c>
      <c r="F12" s="45">
        <v>6</v>
      </c>
      <c r="G12" s="45">
        <v>0.05</v>
      </c>
      <c r="H12" s="46">
        <v>45402</v>
      </c>
      <c r="I12" s="45">
        <v>672.38</v>
      </c>
      <c r="L12" s="47" t="s">
        <v>21</v>
      </c>
      <c r="M12" s="18">
        <v>2869.54</v>
      </c>
    </row>
    <row r="13" spans="1:13" ht="17" customHeight="1" x14ac:dyDescent="0.35">
      <c r="A13" s="45" t="s">
        <v>37</v>
      </c>
      <c r="B13" s="45" t="s">
        <v>36</v>
      </c>
      <c r="C13" s="45" t="s">
        <v>34</v>
      </c>
      <c r="D13" s="45" t="s">
        <v>12</v>
      </c>
      <c r="E13" s="45">
        <v>1343.13</v>
      </c>
      <c r="F13" s="45">
        <v>14</v>
      </c>
      <c r="G13" s="45">
        <v>0.15</v>
      </c>
      <c r="H13" s="46">
        <v>45404</v>
      </c>
      <c r="I13" s="45">
        <v>456.66</v>
      </c>
      <c r="L13" s="47" t="s">
        <v>27</v>
      </c>
      <c r="M13" s="18">
        <v>7592.3399999999992</v>
      </c>
    </row>
    <row r="14" spans="1:13" ht="17" customHeight="1" x14ac:dyDescent="0.35">
      <c r="A14" s="45" t="s">
        <v>25</v>
      </c>
      <c r="B14" s="45" t="s">
        <v>26</v>
      </c>
      <c r="C14" s="45" t="s">
        <v>34</v>
      </c>
      <c r="D14" s="45" t="s">
        <v>12</v>
      </c>
      <c r="E14" s="45">
        <v>1191.58</v>
      </c>
      <c r="F14" s="45">
        <v>14</v>
      </c>
      <c r="G14" s="45">
        <v>0.05</v>
      </c>
      <c r="H14" s="46">
        <v>45406</v>
      </c>
      <c r="I14" s="45">
        <v>452.8</v>
      </c>
      <c r="L14" s="47" t="s">
        <v>39</v>
      </c>
      <c r="M14" s="18">
        <v>8189.2200000000012</v>
      </c>
    </row>
    <row r="15" spans="1:13" ht="17" customHeight="1" x14ac:dyDescent="0.35">
      <c r="A15" s="45" t="s">
        <v>40</v>
      </c>
      <c r="B15" s="45" t="s">
        <v>14</v>
      </c>
      <c r="C15" s="45" t="s">
        <v>11</v>
      </c>
      <c r="D15" s="45" t="s">
        <v>27</v>
      </c>
      <c r="E15" s="45">
        <v>822.28</v>
      </c>
      <c r="F15" s="45">
        <v>7</v>
      </c>
      <c r="G15" s="45">
        <v>0.05</v>
      </c>
      <c r="H15" s="46">
        <v>45406</v>
      </c>
      <c r="I15" s="45">
        <v>273.41000000000003</v>
      </c>
      <c r="L15" s="22" t="s">
        <v>24</v>
      </c>
      <c r="M15" s="18">
        <v>34975.420000000006</v>
      </c>
    </row>
    <row r="16" spans="1:13" ht="17" customHeight="1" x14ac:dyDescent="0.35">
      <c r="A16" s="45" t="s">
        <v>41</v>
      </c>
      <c r="B16" s="45" t="s">
        <v>42</v>
      </c>
      <c r="C16" s="45" t="s">
        <v>24</v>
      </c>
      <c r="D16" s="45" t="s">
        <v>27</v>
      </c>
      <c r="E16" s="45">
        <v>521.66999999999996</v>
      </c>
      <c r="F16" s="45">
        <v>15</v>
      </c>
      <c r="G16" s="45">
        <v>0.15</v>
      </c>
      <c r="H16" s="46">
        <v>45409</v>
      </c>
      <c r="I16" s="45">
        <v>155.19999999999999</v>
      </c>
      <c r="L16" s="47" t="s">
        <v>12</v>
      </c>
      <c r="M16" s="18">
        <v>8037.0100000000011</v>
      </c>
    </row>
    <row r="17" spans="1:13" ht="17" customHeight="1" x14ac:dyDescent="0.35">
      <c r="A17" s="45" t="s">
        <v>19</v>
      </c>
      <c r="B17" s="45" t="s">
        <v>43</v>
      </c>
      <c r="C17" s="45" t="s">
        <v>20</v>
      </c>
      <c r="D17" s="45" t="s">
        <v>21</v>
      </c>
      <c r="E17" s="45">
        <v>1502.93</v>
      </c>
      <c r="F17" s="45">
        <v>14</v>
      </c>
      <c r="G17" s="45">
        <v>0.2</v>
      </c>
      <c r="H17" s="46">
        <v>45410</v>
      </c>
      <c r="I17" s="45">
        <v>300.58999999999997</v>
      </c>
      <c r="L17" s="47" t="s">
        <v>15</v>
      </c>
      <c r="M17" s="18">
        <v>8422.82</v>
      </c>
    </row>
    <row r="18" spans="1:13" ht="17" customHeight="1" x14ac:dyDescent="0.35">
      <c r="A18" s="45" t="s">
        <v>44</v>
      </c>
      <c r="B18" s="45" t="s">
        <v>14</v>
      </c>
      <c r="C18" s="45" t="s">
        <v>20</v>
      </c>
      <c r="D18" s="45" t="s">
        <v>12</v>
      </c>
      <c r="E18" s="45">
        <v>877.58</v>
      </c>
      <c r="F18" s="45">
        <v>10</v>
      </c>
      <c r="G18" s="45">
        <v>0.15</v>
      </c>
      <c r="H18" s="46">
        <v>45411</v>
      </c>
      <c r="I18" s="45">
        <v>298.38</v>
      </c>
      <c r="L18" s="47" t="s">
        <v>21</v>
      </c>
      <c r="M18" s="18">
        <v>8191.7099999999991</v>
      </c>
    </row>
    <row r="19" spans="1:13" ht="17" customHeight="1" x14ac:dyDescent="0.35">
      <c r="A19" s="45" t="s">
        <v>28</v>
      </c>
      <c r="B19" s="45" t="s">
        <v>45</v>
      </c>
      <c r="C19" s="45" t="s">
        <v>11</v>
      </c>
      <c r="D19" s="45" t="s">
        <v>12</v>
      </c>
      <c r="E19" s="45">
        <v>636.70000000000005</v>
      </c>
      <c r="F19" s="45">
        <v>4</v>
      </c>
      <c r="G19" s="45">
        <v>0.2</v>
      </c>
      <c r="H19" s="46">
        <v>45411</v>
      </c>
      <c r="I19" s="45">
        <v>203.74</v>
      </c>
      <c r="L19" s="47" t="s">
        <v>27</v>
      </c>
      <c r="M19" s="18">
        <v>6978.08</v>
      </c>
    </row>
    <row r="20" spans="1:13" ht="17" customHeight="1" x14ac:dyDescent="0.35">
      <c r="A20" s="45" t="s">
        <v>46</v>
      </c>
      <c r="B20" s="45" t="s">
        <v>47</v>
      </c>
      <c r="C20" s="45" t="s">
        <v>11</v>
      </c>
      <c r="D20" s="45" t="s">
        <v>12</v>
      </c>
      <c r="E20" s="45">
        <v>1506.14</v>
      </c>
      <c r="F20" s="45">
        <v>13</v>
      </c>
      <c r="G20" s="45">
        <v>0.2</v>
      </c>
      <c r="H20" s="46">
        <v>45412</v>
      </c>
      <c r="I20" s="45">
        <v>481.96</v>
      </c>
      <c r="L20" s="47" t="s">
        <v>39</v>
      </c>
      <c r="M20" s="18">
        <v>3345.8</v>
      </c>
    </row>
    <row r="21" spans="1:13" ht="17" customHeight="1" x14ac:dyDescent="0.35">
      <c r="A21" s="45" t="s">
        <v>30</v>
      </c>
      <c r="B21" s="45" t="s">
        <v>31</v>
      </c>
      <c r="C21" s="45" t="s">
        <v>34</v>
      </c>
      <c r="D21" s="45" t="s">
        <v>21</v>
      </c>
      <c r="E21" s="45">
        <v>645.02</v>
      </c>
      <c r="F21" s="45">
        <v>4</v>
      </c>
      <c r="G21" s="45">
        <v>0</v>
      </c>
      <c r="H21" s="46">
        <v>45414</v>
      </c>
      <c r="I21" s="45">
        <v>161.26</v>
      </c>
      <c r="L21" s="22" t="s">
        <v>20</v>
      </c>
      <c r="M21" s="18">
        <v>40248.79</v>
      </c>
    </row>
    <row r="22" spans="1:13" ht="17" customHeight="1" x14ac:dyDescent="0.35">
      <c r="A22" s="45" t="s">
        <v>25</v>
      </c>
      <c r="B22" s="45" t="s">
        <v>48</v>
      </c>
      <c r="C22" s="45" t="s">
        <v>20</v>
      </c>
      <c r="D22" s="45" t="s">
        <v>15</v>
      </c>
      <c r="E22" s="45">
        <v>953.3</v>
      </c>
      <c r="F22" s="45">
        <v>11</v>
      </c>
      <c r="G22" s="45">
        <v>0</v>
      </c>
      <c r="H22" s="46">
        <v>45415</v>
      </c>
      <c r="I22" s="45">
        <v>476.65</v>
      </c>
      <c r="L22" s="47" t="s">
        <v>12</v>
      </c>
      <c r="M22" s="18">
        <v>9588.0400000000009</v>
      </c>
    </row>
    <row r="23" spans="1:13" ht="17" customHeight="1" x14ac:dyDescent="0.35">
      <c r="A23" s="45" t="s">
        <v>49</v>
      </c>
      <c r="B23" s="45" t="s">
        <v>14</v>
      </c>
      <c r="C23" s="45" t="s">
        <v>24</v>
      </c>
      <c r="D23" s="45" t="s">
        <v>21</v>
      </c>
      <c r="E23" s="45">
        <v>388.56</v>
      </c>
      <c r="F23" s="45">
        <v>14</v>
      </c>
      <c r="G23" s="45">
        <v>0.15</v>
      </c>
      <c r="H23" s="46">
        <v>45416</v>
      </c>
      <c r="I23" s="45">
        <v>82.57</v>
      </c>
      <c r="L23" s="47" t="s">
        <v>15</v>
      </c>
      <c r="M23" s="18">
        <v>8393.630000000001</v>
      </c>
    </row>
    <row r="24" spans="1:13" ht="17" customHeight="1" x14ac:dyDescent="0.35">
      <c r="A24" s="45" t="s">
        <v>9</v>
      </c>
      <c r="B24" s="45" t="s">
        <v>31</v>
      </c>
      <c r="C24" s="45" t="s">
        <v>11</v>
      </c>
      <c r="D24" s="45" t="s">
        <v>12</v>
      </c>
      <c r="E24" s="45">
        <v>743.17</v>
      </c>
      <c r="F24" s="45">
        <v>9</v>
      </c>
      <c r="G24" s="45">
        <v>0</v>
      </c>
      <c r="H24" s="46">
        <v>45416</v>
      </c>
      <c r="I24" s="45">
        <v>297.27</v>
      </c>
      <c r="L24" s="47" t="s">
        <v>21</v>
      </c>
      <c r="M24" s="18">
        <v>11989.070000000003</v>
      </c>
    </row>
    <row r="25" spans="1:13" ht="17" customHeight="1" x14ac:dyDescent="0.35">
      <c r="A25" s="45" t="s">
        <v>40</v>
      </c>
      <c r="B25" s="45" t="s">
        <v>31</v>
      </c>
      <c r="C25" s="45" t="s">
        <v>34</v>
      </c>
      <c r="D25" s="45" t="s">
        <v>21</v>
      </c>
      <c r="E25" s="45">
        <v>706.37</v>
      </c>
      <c r="F25" s="45">
        <v>6</v>
      </c>
      <c r="G25" s="45">
        <v>0</v>
      </c>
      <c r="H25" s="46">
        <v>45416</v>
      </c>
      <c r="I25" s="45">
        <v>176.59</v>
      </c>
      <c r="L25" s="47" t="s">
        <v>27</v>
      </c>
      <c r="M25" s="18">
        <v>7982.73</v>
      </c>
    </row>
    <row r="26" spans="1:13" ht="17" customHeight="1" x14ac:dyDescent="0.35">
      <c r="A26" s="45" t="s">
        <v>13</v>
      </c>
      <c r="B26" s="45" t="s">
        <v>31</v>
      </c>
      <c r="C26" s="45" t="s">
        <v>34</v>
      </c>
      <c r="D26" s="45" t="s">
        <v>39</v>
      </c>
      <c r="E26" s="45">
        <v>925.31</v>
      </c>
      <c r="F26" s="45">
        <v>8</v>
      </c>
      <c r="G26" s="45">
        <v>0.1</v>
      </c>
      <c r="H26" s="46">
        <v>45418</v>
      </c>
      <c r="I26" s="45">
        <v>374.75</v>
      </c>
      <c r="L26" s="47" t="s">
        <v>39</v>
      </c>
      <c r="M26" s="18">
        <v>2295.3199999999997</v>
      </c>
    </row>
    <row r="27" spans="1:13" ht="17" customHeight="1" x14ac:dyDescent="0.35">
      <c r="A27" s="45" t="s">
        <v>35</v>
      </c>
      <c r="B27" s="45" t="s">
        <v>50</v>
      </c>
      <c r="C27" s="45" t="s">
        <v>20</v>
      </c>
      <c r="D27" s="45" t="s">
        <v>21</v>
      </c>
      <c r="E27" s="45">
        <v>1173.1199999999999</v>
      </c>
      <c r="F27" s="45">
        <v>18</v>
      </c>
      <c r="G27" s="45">
        <v>0</v>
      </c>
      <c r="H27" s="46">
        <v>45418</v>
      </c>
      <c r="I27" s="45">
        <v>293.27999999999997</v>
      </c>
      <c r="L27" s="22" t="s">
        <v>11</v>
      </c>
      <c r="M27" s="18">
        <v>44083.58</v>
      </c>
    </row>
    <row r="28" spans="1:13" ht="17" customHeight="1" x14ac:dyDescent="0.35">
      <c r="A28" s="45" t="s">
        <v>22</v>
      </c>
      <c r="B28" s="45" t="s">
        <v>51</v>
      </c>
      <c r="C28" s="45" t="s">
        <v>24</v>
      </c>
      <c r="D28" s="45" t="s">
        <v>27</v>
      </c>
      <c r="E28" s="45">
        <v>675.54</v>
      </c>
      <c r="F28" s="45">
        <v>17</v>
      </c>
      <c r="G28" s="45">
        <v>0</v>
      </c>
      <c r="H28" s="46">
        <v>45420</v>
      </c>
      <c r="I28" s="45">
        <v>236.44</v>
      </c>
      <c r="L28" s="47" t="s">
        <v>12</v>
      </c>
      <c r="M28" s="18">
        <v>6691.17</v>
      </c>
    </row>
    <row r="29" spans="1:13" ht="17" customHeight="1" x14ac:dyDescent="0.35">
      <c r="A29" s="45" t="s">
        <v>25</v>
      </c>
      <c r="B29" s="45" t="s">
        <v>14</v>
      </c>
      <c r="C29" s="45" t="s">
        <v>34</v>
      </c>
      <c r="D29" s="45" t="s">
        <v>12</v>
      </c>
      <c r="E29" s="45">
        <v>939.09</v>
      </c>
      <c r="F29" s="45">
        <v>2</v>
      </c>
      <c r="G29" s="45">
        <v>0.05</v>
      </c>
      <c r="H29" s="46">
        <v>45422</v>
      </c>
      <c r="I29" s="45">
        <v>356.85</v>
      </c>
      <c r="L29" s="47" t="s">
        <v>15</v>
      </c>
      <c r="M29" s="18">
        <v>10509.429999999998</v>
      </c>
    </row>
    <row r="30" spans="1:13" ht="17" customHeight="1" x14ac:dyDescent="0.35">
      <c r="A30" s="45" t="s">
        <v>52</v>
      </c>
      <c r="B30" s="45" t="s">
        <v>53</v>
      </c>
      <c r="C30" s="45" t="s">
        <v>18</v>
      </c>
      <c r="D30" s="45" t="s">
        <v>39</v>
      </c>
      <c r="E30" s="45">
        <v>983.34</v>
      </c>
      <c r="F30" s="45">
        <v>19</v>
      </c>
      <c r="G30" s="45">
        <v>0.1</v>
      </c>
      <c r="H30" s="46">
        <v>45426</v>
      </c>
      <c r="I30" s="45">
        <v>398.25</v>
      </c>
      <c r="L30" s="47" t="s">
        <v>21</v>
      </c>
      <c r="M30" s="18">
        <v>11372.44</v>
      </c>
    </row>
    <row r="31" spans="1:13" ht="17" customHeight="1" x14ac:dyDescent="0.35">
      <c r="A31" s="45" t="s">
        <v>52</v>
      </c>
      <c r="B31" s="45" t="s">
        <v>23</v>
      </c>
      <c r="C31" s="45" t="s">
        <v>20</v>
      </c>
      <c r="D31" s="45" t="s">
        <v>21</v>
      </c>
      <c r="E31" s="45">
        <v>801.21</v>
      </c>
      <c r="F31" s="45">
        <v>3</v>
      </c>
      <c r="G31" s="45">
        <v>0.2</v>
      </c>
      <c r="H31" s="46">
        <v>45426</v>
      </c>
      <c r="I31" s="45">
        <v>160.24</v>
      </c>
      <c r="L31" s="47" t="s">
        <v>27</v>
      </c>
      <c r="M31" s="18">
        <v>9182.7800000000007</v>
      </c>
    </row>
    <row r="32" spans="1:13" ht="17" customHeight="1" x14ac:dyDescent="0.35">
      <c r="A32" s="45" t="s">
        <v>54</v>
      </c>
      <c r="B32" s="45" t="s">
        <v>55</v>
      </c>
      <c r="C32" s="45" t="s">
        <v>24</v>
      </c>
      <c r="D32" s="45" t="s">
        <v>21</v>
      </c>
      <c r="E32" s="45">
        <v>1450.71</v>
      </c>
      <c r="F32" s="45">
        <v>5</v>
      </c>
      <c r="G32" s="45">
        <v>0.1</v>
      </c>
      <c r="H32" s="46">
        <v>45427</v>
      </c>
      <c r="I32" s="45">
        <v>326.41000000000003</v>
      </c>
      <c r="L32" s="47" t="s">
        <v>39</v>
      </c>
      <c r="M32" s="18">
        <v>6327.76</v>
      </c>
    </row>
    <row r="33" spans="1:13" ht="17" customHeight="1" x14ac:dyDescent="0.35">
      <c r="A33" s="45" t="s">
        <v>49</v>
      </c>
      <c r="B33" s="45" t="s">
        <v>56</v>
      </c>
      <c r="C33" s="45" t="s">
        <v>34</v>
      </c>
      <c r="D33" s="45" t="s">
        <v>12</v>
      </c>
      <c r="E33" s="45">
        <v>1023.21</v>
      </c>
      <c r="F33" s="45">
        <v>18</v>
      </c>
      <c r="G33" s="45">
        <v>0.05</v>
      </c>
      <c r="H33" s="46">
        <v>45428</v>
      </c>
      <c r="I33" s="45">
        <v>388.82</v>
      </c>
      <c r="L33" s="22" t="s">
        <v>78</v>
      </c>
      <c r="M33" s="18">
        <v>195217.76000000004</v>
      </c>
    </row>
    <row r="34" spans="1:13" ht="17" customHeight="1" x14ac:dyDescent="0.35">
      <c r="A34" s="45" t="s">
        <v>28</v>
      </c>
      <c r="B34" s="45" t="s">
        <v>47</v>
      </c>
      <c r="C34" s="45" t="s">
        <v>11</v>
      </c>
      <c r="D34" s="45" t="s">
        <v>27</v>
      </c>
      <c r="E34" s="45">
        <v>853.72</v>
      </c>
      <c r="F34" s="45">
        <v>5</v>
      </c>
      <c r="G34" s="45">
        <v>0.15</v>
      </c>
      <c r="H34" s="46">
        <v>45428</v>
      </c>
      <c r="I34" s="45">
        <v>253.98</v>
      </c>
    </row>
    <row r="35" spans="1:13" ht="17" customHeight="1" x14ac:dyDescent="0.35">
      <c r="A35" s="45" t="s">
        <v>57</v>
      </c>
      <c r="B35" s="45" t="s">
        <v>43</v>
      </c>
      <c r="C35" s="45" t="s">
        <v>20</v>
      </c>
      <c r="D35" s="45" t="s">
        <v>21</v>
      </c>
      <c r="E35" s="45">
        <v>967.89</v>
      </c>
      <c r="F35" s="45">
        <v>10</v>
      </c>
      <c r="G35" s="45">
        <v>0.1</v>
      </c>
      <c r="H35" s="46">
        <v>45429</v>
      </c>
      <c r="I35" s="45">
        <v>217.78</v>
      </c>
    </row>
    <row r="36" spans="1:13" ht="17" customHeight="1" x14ac:dyDescent="0.35">
      <c r="A36" s="45" t="s">
        <v>58</v>
      </c>
      <c r="B36" s="45" t="s">
        <v>53</v>
      </c>
      <c r="C36" s="45" t="s">
        <v>24</v>
      </c>
      <c r="D36" s="45" t="s">
        <v>39</v>
      </c>
      <c r="E36" s="45">
        <v>1200.9000000000001</v>
      </c>
      <c r="F36" s="45">
        <v>14</v>
      </c>
      <c r="G36" s="45">
        <v>0.05</v>
      </c>
      <c r="H36" s="46">
        <v>45429</v>
      </c>
      <c r="I36" s="45">
        <v>513.38</v>
      </c>
    </row>
    <row r="37" spans="1:13" ht="17" customHeight="1" x14ac:dyDescent="0.35">
      <c r="A37" s="45" t="s">
        <v>13</v>
      </c>
      <c r="B37" s="45" t="s">
        <v>26</v>
      </c>
      <c r="C37" s="45" t="s">
        <v>11</v>
      </c>
      <c r="D37" s="45" t="s">
        <v>12</v>
      </c>
      <c r="E37" s="45">
        <v>472.38</v>
      </c>
      <c r="F37" s="45">
        <v>12</v>
      </c>
      <c r="G37" s="45">
        <v>0.2</v>
      </c>
      <c r="H37" s="46">
        <v>45429</v>
      </c>
      <c r="I37" s="45">
        <v>151.16</v>
      </c>
    </row>
    <row r="38" spans="1:13" ht="17" customHeight="1" x14ac:dyDescent="0.35">
      <c r="A38" s="45" t="s">
        <v>9</v>
      </c>
      <c r="B38" s="45" t="s">
        <v>55</v>
      </c>
      <c r="C38" s="45" t="s">
        <v>18</v>
      </c>
      <c r="D38" s="45" t="s">
        <v>39</v>
      </c>
      <c r="E38" s="45">
        <v>840.92</v>
      </c>
      <c r="F38" s="45">
        <v>9</v>
      </c>
      <c r="G38" s="45">
        <v>0.05</v>
      </c>
      <c r="H38" s="46">
        <v>45429</v>
      </c>
      <c r="I38" s="45">
        <v>359.49</v>
      </c>
    </row>
    <row r="39" spans="1:13" ht="17" customHeight="1" x14ac:dyDescent="0.35">
      <c r="A39" s="45" t="s">
        <v>52</v>
      </c>
      <c r="B39" s="45" t="s">
        <v>48</v>
      </c>
      <c r="C39" s="45" t="s">
        <v>34</v>
      </c>
      <c r="D39" s="45" t="s">
        <v>27</v>
      </c>
      <c r="E39" s="45">
        <v>1410.06</v>
      </c>
      <c r="F39" s="45">
        <v>11</v>
      </c>
      <c r="G39" s="45">
        <v>0.05</v>
      </c>
      <c r="H39" s="46">
        <v>45434</v>
      </c>
      <c r="I39" s="45">
        <v>468.84</v>
      </c>
    </row>
    <row r="40" spans="1:13" ht="17" customHeight="1" x14ac:dyDescent="0.35">
      <c r="A40" s="45" t="s">
        <v>44</v>
      </c>
      <c r="B40" s="45" t="s">
        <v>59</v>
      </c>
      <c r="C40" s="45" t="s">
        <v>34</v>
      </c>
      <c r="D40" s="45" t="s">
        <v>27</v>
      </c>
      <c r="E40" s="45">
        <v>773.09</v>
      </c>
      <c r="F40" s="45">
        <v>13</v>
      </c>
      <c r="G40" s="45">
        <v>0.15</v>
      </c>
      <c r="H40" s="46">
        <v>45434</v>
      </c>
      <c r="I40" s="45">
        <v>229.99</v>
      </c>
    </row>
    <row r="41" spans="1:13" ht="17" customHeight="1" x14ac:dyDescent="0.35">
      <c r="A41" s="45" t="s">
        <v>60</v>
      </c>
      <c r="B41" s="45" t="s">
        <v>61</v>
      </c>
      <c r="C41" s="45" t="s">
        <v>18</v>
      </c>
      <c r="D41" s="45" t="s">
        <v>12</v>
      </c>
      <c r="E41" s="45">
        <v>580.42999999999995</v>
      </c>
      <c r="F41" s="45">
        <v>19</v>
      </c>
      <c r="G41" s="45">
        <v>0.15</v>
      </c>
      <c r="H41" s="46">
        <v>45435</v>
      </c>
      <c r="I41" s="45">
        <v>197.35</v>
      </c>
    </row>
    <row r="42" spans="1:13" ht="17" customHeight="1" x14ac:dyDescent="0.35">
      <c r="A42" s="45" t="s">
        <v>19</v>
      </c>
      <c r="B42" s="45" t="s">
        <v>42</v>
      </c>
      <c r="C42" s="45" t="s">
        <v>20</v>
      </c>
      <c r="D42" s="45" t="s">
        <v>12</v>
      </c>
      <c r="E42" s="45">
        <v>1151.21</v>
      </c>
      <c r="F42" s="45">
        <v>15</v>
      </c>
      <c r="G42" s="45">
        <v>0.1</v>
      </c>
      <c r="H42" s="46">
        <v>45445</v>
      </c>
      <c r="I42" s="45">
        <v>414.44</v>
      </c>
    </row>
    <row r="43" spans="1:13" ht="17" customHeight="1" x14ac:dyDescent="0.35">
      <c r="A43" s="45" t="s">
        <v>52</v>
      </c>
      <c r="B43" s="45" t="s">
        <v>23</v>
      </c>
      <c r="C43" s="45" t="s">
        <v>34</v>
      </c>
      <c r="D43" s="45" t="s">
        <v>39</v>
      </c>
      <c r="E43" s="45">
        <v>1025.98</v>
      </c>
      <c r="F43" s="45">
        <v>5</v>
      </c>
      <c r="G43" s="45">
        <v>0.2</v>
      </c>
      <c r="H43" s="46">
        <v>45447</v>
      </c>
      <c r="I43" s="45">
        <v>369.35</v>
      </c>
    </row>
    <row r="44" spans="1:13" ht="17" customHeight="1" x14ac:dyDescent="0.35">
      <c r="A44" s="45" t="s">
        <v>40</v>
      </c>
      <c r="B44" s="45" t="s">
        <v>56</v>
      </c>
      <c r="C44" s="45" t="s">
        <v>18</v>
      </c>
      <c r="D44" s="45" t="s">
        <v>39</v>
      </c>
      <c r="E44" s="45">
        <v>556.41999999999996</v>
      </c>
      <c r="F44" s="45">
        <v>11</v>
      </c>
      <c r="G44" s="45">
        <v>0.15</v>
      </c>
      <c r="H44" s="46">
        <v>45447</v>
      </c>
      <c r="I44" s="45">
        <v>212.83</v>
      </c>
    </row>
    <row r="45" spans="1:13" ht="17" customHeight="1" x14ac:dyDescent="0.35">
      <c r="A45" s="45" t="s">
        <v>57</v>
      </c>
      <c r="B45" s="45" t="s">
        <v>23</v>
      </c>
      <c r="C45" s="45" t="s">
        <v>34</v>
      </c>
      <c r="D45" s="45" t="s">
        <v>12</v>
      </c>
      <c r="E45" s="45">
        <v>840.85</v>
      </c>
      <c r="F45" s="45">
        <v>19</v>
      </c>
      <c r="G45" s="45">
        <v>0.1</v>
      </c>
      <c r="H45" s="46">
        <v>45448</v>
      </c>
      <c r="I45" s="45">
        <v>302.70999999999998</v>
      </c>
    </row>
    <row r="46" spans="1:13" ht="17" customHeight="1" x14ac:dyDescent="0.35">
      <c r="A46" s="45" t="s">
        <v>30</v>
      </c>
      <c r="B46" s="45" t="s">
        <v>61</v>
      </c>
      <c r="C46" s="45" t="s">
        <v>24</v>
      </c>
      <c r="D46" s="45" t="s">
        <v>27</v>
      </c>
      <c r="E46" s="45">
        <v>1227.25</v>
      </c>
      <c r="F46" s="45">
        <v>12</v>
      </c>
      <c r="G46" s="45">
        <v>0.15</v>
      </c>
      <c r="H46" s="46">
        <v>45448</v>
      </c>
      <c r="I46" s="45">
        <v>365.11</v>
      </c>
    </row>
    <row r="47" spans="1:13" ht="17" customHeight="1" x14ac:dyDescent="0.35">
      <c r="A47" s="45" t="s">
        <v>16</v>
      </c>
      <c r="B47" s="45" t="s">
        <v>62</v>
      </c>
      <c r="C47" s="45" t="s">
        <v>34</v>
      </c>
      <c r="D47" s="45" t="s">
        <v>21</v>
      </c>
      <c r="E47" s="45">
        <v>856.7</v>
      </c>
      <c r="F47" s="45">
        <v>2</v>
      </c>
      <c r="G47" s="45">
        <v>0</v>
      </c>
      <c r="H47" s="46">
        <v>45449</v>
      </c>
      <c r="I47" s="45">
        <v>214.18</v>
      </c>
    </row>
    <row r="48" spans="1:13" ht="17" customHeight="1" x14ac:dyDescent="0.35">
      <c r="A48" s="45" t="s">
        <v>54</v>
      </c>
      <c r="B48" s="45" t="s">
        <v>56</v>
      </c>
      <c r="C48" s="45" t="s">
        <v>34</v>
      </c>
      <c r="D48" s="45" t="s">
        <v>39</v>
      </c>
      <c r="E48" s="45">
        <v>1225.42</v>
      </c>
      <c r="F48" s="45">
        <v>8</v>
      </c>
      <c r="G48" s="45">
        <v>0.15</v>
      </c>
      <c r="H48" s="46">
        <v>45449</v>
      </c>
      <c r="I48" s="45">
        <v>468.72</v>
      </c>
    </row>
    <row r="49" spans="1:9" ht="17" customHeight="1" x14ac:dyDescent="0.35">
      <c r="A49" s="45" t="s">
        <v>63</v>
      </c>
      <c r="B49" s="45" t="s">
        <v>31</v>
      </c>
      <c r="C49" s="45" t="s">
        <v>24</v>
      </c>
      <c r="D49" s="45" t="s">
        <v>39</v>
      </c>
      <c r="E49" s="45">
        <v>1001.57</v>
      </c>
      <c r="F49" s="45">
        <v>12</v>
      </c>
      <c r="G49" s="45">
        <v>0</v>
      </c>
      <c r="H49" s="46">
        <v>45450</v>
      </c>
      <c r="I49" s="45">
        <v>450.71</v>
      </c>
    </row>
    <row r="50" spans="1:9" ht="17" customHeight="1" x14ac:dyDescent="0.35">
      <c r="A50" s="45" t="s">
        <v>57</v>
      </c>
      <c r="B50" s="45" t="s">
        <v>26</v>
      </c>
      <c r="C50" s="45" t="s">
        <v>18</v>
      </c>
      <c r="D50" s="45" t="s">
        <v>27</v>
      </c>
      <c r="E50" s="45">
        <v>1186.8499999999999</v>
      </c>
      <c r="F50" s="45">
        <v>19</v>
      </c>
      <c r="G50" s="45">
        <v>0.2</v>
      </c>
      <c r="H50" s="46">
        <v>45451</v>
      </c>
      <c r="I50" s="45">
        <v>332.32</v>
      </c>
    </row>
    <row r="51" spans="1:9" ht="17" customHeight="1" x14ac:dyDescent="0.35">
      <c r="A51" s="45" t="s">
        <v>44</v>
      </c>
      <c r="B51" s="45" t="s">
        <v>51</v>
      </c>
      <c r="C51" s="45" t="s">
        <v>20</v>
      </c>
      <c r="D51" s="45" t="s">
        <v>21</v>
      </c>
      <c r="E51" s="45">
        <v>775.45</v>
      </c>
      <c r="F51" s="45">
        <v>6</v>
      </c>
      <c r="G51" s="45">
        <v>0.1</v>
      </c>
      <c r="H51" s="46">
        <v>45457</v>
      </c>
      <c r="I51" s="45">
        <v>174.48</v>
      </c>
    </row>
    <row r="52" spans="1:9" ht="17" customHeight="1" x14ac:dyDescent="0.35">
      <c r="A52" s="45" t="s">
        <v>25</v>
      </c>
      <c r="B52" s="45" t="s">
        <v>33</v>
      </c>
      <c r="C52" s="45" t="s">
        <v>20</v>
      </c>
      <c r="D52" s="45" t="s">
        <v>21</v>
      </c>
      <c r="E52" s="45">
        <v>1021.47</v>
      </c>
      <c r="F52" s="45">
        <v>6</v>
      </c>
      <c r="G52" s="45">
        <v>0.05</v>
      </c>
      <c r="H52" s="46">
        <v>45461</v>
      </c>
      <c r="I52" s="45">
        <v>242.6</v>
      </c>
    </row>
    <row r="53" spans="1:9" ht="17" customHeight="1" x14ac:dyDescent="0.35">
      <c r="A53" s="45" t="s">
        <v>58</v>
      </c>
      <c r="B53" s="45" t="s">
        <v>23</v>
      </c>
      <c r="C53" s="45" t="s">
        <v>20</v>
      </c>
      <c r="D53" s="45" t="s">
        <v>15</v>
      </c>
      <c r="E53" s="45">
        <v>1226.6199999999999</v>
      </c>
      <c r="F53" s="45">
        <v>7</v>
      </c>
      <c r="G53" s="45">
        <v>0.1</v>
      </c>
      <c r="H53" s="46">
        <v>45463</v>
      </c>
      <c r="I53" s="45">
        <v>551.98</v>
      </c>
    </row>
    <row r="54" spans="1:9" ht="17" customHeight="1" x14ac:dyDescent="0.35">
      <c r="A54" s="45" t="s">
        <v>22</v>
      </c>
      <c r="B54" s="45" t="s">
        <v>64</v>
      </c>
      <c r="C54" s="45" t="s">
        <v>20</v>
      </c>
      <c r="D54" s="45" t="s">
        <v>27</v>
      </c>
      <c r="E54" s="45">
        <v>1086.93</v>
      </c>
      <c r="F54" s="45">
        <v>2</v>
      </c>
      <c r="G54" s="45">
        <v>0</v>
      </c>
      <c r="H54" s="46">
        <v>45464</v>
      </c>
      <c r="I54" s="45">
        <v>380.43</v>
      </c>
    </row>
    <row r="55" spans="1:9" ht="17" customHeight="1" x14ac:dyDescent="0.35">
      <c r="A55" s="45" t="s">
        <v>65</v>
      </c>
      <c r="B55" s="45" t="s">
        <v>48</v>
      </c>
      <c r="C55" s="45" t="s">
        <v>11</v>
      </c>
      <c r="D55" s="45" t="s">
        <v>12</v>
      </c>
      <c r="E55" s="45">
        <v>942.9</v>
      </c>
      <c r="F55" s="45">
        <v>18</v>
      </c>
      <c r="G55" s="45">
        <v>0.1</v>
      </c>
      <c r="H55" s="46">
        <v>45466</v>
      </c>
      <c r="I55" s="45">
        <v>339.44</v>
      </c>
    </row>
    <row r="56" spans="1:9" ht="17" customHeight="1" x14ac:dyDescent="0.35">
      <c r="A56" s="45" t="s">
        <v>32</v>
      </c>
      <c r="B56" s="45" t="s">
        <v>38</v>
      </c>
      <c r="C56" s="45" t="s">
        <v>24</v>
      </c>
      <c r="D56" s="45" t="s">
        <v>21</v>
      </c>
      <c r="E56" s="45">
        <v>818.8</v>
      </c>
      <c r="F56" s="45">
        <v>15</v>
      </c>
      <c r="G56" s="45">
        <v>0.15</v>
      </c>
      <c r="H56" s="46">
        <v>45468</v>
      </c>
      <c r="I56" s="45">
        <v>173.99</v>
      </c>
    </row>
    <row r="57" spans="1:9" ht="17" customHeight="1" x14ac:dyDescent="0.35">
      <c r="A57" s="45" t="s">
        <v>19</v>
      </c>
      <c r="B57" s="45" t="s">
        <v>14</v>
      </c>
      <c r="C57" s="45" t="s">
        <v>20</v>
      </c>
      <c r="D57" s="45" t="s">
        <v>27</v>
      </c>
      <c r="E57" s="45">
        <v>919.04</v>
      </c>
      <c r="F57" s="45">
        <v>10</v>
      </c>
      <c r="G57" s="45">
        <v>0.2</v>
      </c>
      <c r="H57" s="46">
        <v>45468</v>
      </c>
      <c r="I57" s="45">
        <v>257.33</v>
      </c>
    </row>
    <row r="58" spans="1:9" ht="17" customHeight="1" x14ac:dyDescent="0.35">
      <c r="A58" s="45" t="s">
        <v>22</v>
      </c>
      <c r="B58" s="45" t="s">
        <v>66</v>
      </c>
      <c r="C58" s="45" t="s">
        <v>34</v>
      </c>
      <c r="D58" s="45" t="s">
        <v>12</v>
      </c>
      <c r="E58" s="45">
        <v>973.26</v>
      </c>
      <c r="F58" s="45">
        <v>11</v>
      </c>
      <c r="G58" s="45">
        <v>0</v>
      </c>
      <c r="H58" s="46">
        <v>45470</v>
      </c>
      <c r="I58" s="45">
        <v>389.3</v>
      </c>
    </row>
    <row r="59" spans="1:9" ht="17" customHeight="1" x14ac:dyDescent="0.35">
      <c r="A59" s="45" t="s">
        <v>41</v>
      </c>
      <c r="B59" s="45" t="s">
        <v>64</v>
      </c>
      <c r="C59" s="45" t="s">
        <v>24</v>
      </c>
      <c r="D59" s="45" t="s">
        <v>21</v>
      </c>
      <c r="E59" s="45">
        <v>741.61</v>
      </c>
      <c r="F59" s="45">
        <v>1</v>
      </c>
      <c r="G59" s="45">
        <v>0.2</v>
      </c>
      <c r="H59" s="46">
        <v>45471</v>
      </c>
      <c r="I59" s="45">
        <v>148.32</v>
      </c>
    </row>
    <row r="60" spans="1:9" ht="17" customHeight="1" x14ac:dyDescent="0.35">
      <c r="A60" s="45" t="s">
        <v>67</v>
      </c>
      <c r="B60" s="45" t="s">
        <v>38</v>
      </c>
      <c r="C60" s="45" t="s">
        <v>24</v>
      </c>
      <c r="D60" s="45" t="s">
        <v>12</v>
      </c>
      <c r="E60" s="45">
        <v>1248.82</v>
      </c>
      <c r="F60" s="45">
        <v>2</v>
      </c>
      <c r="G60" s="45">
        <v>0.1</v>
      </c>
      <c r="H60" s="46">
        <v>45473</v>
      </c>
      <c r="I60" s="45">
        <v>449.58</v>
      </c>
    </row>
    <row r="61" spans="1:9" ht="17" customHeight="1" x14ac:dyDescent="0.35">
      <c r="A61" s="45" t="s">
        <v>13</v>
      </c>
      <c r="B61" s="45" t="s">
        <v>59</v>
      </c>
      <c r="C61" s="45" t="s">
        <v>11</v>
      </c>
      <c r="D61" s="45" t="s">
        <v>15</v>
      </c>
      <c r="E61" s="45">
        <v>1360.36</v>
      </c>
      <c r="F61" s="45">
        <v>17</v>
      </c>
      <c r="G61" s="45">
        <v>0</v>
      </c>
      <c r="H61" s="46">
        <v>45473</v>
      </c>
      <c r="I61" s="45">
        <v>680.18</v>
      </c>
    </row>
    <row r="62" spans="1:9" ht="17" customHeight="1" x14ac:dyDescent="0.35">
      <c r="A62" s="45" t="s">
        <v>57</v>
      </c>
      <c r="B62" s="45" t="s">
        <v>31</v>
      </c>
      <c r="C62" s="45" t="s">
        <v>18</v>
      </c>
      <c r="D62" s="45" t="s">
        <v>12</v>
      </c>
      <c r="E62" s="45">
        <v>1383.3</v>
      </c>
      <c r="F62" s="45">
        <v>8</v>
      </c>
      <c r="G62" s="45">
        <v>0.1</v>
      </c>
      <c r="H62" s="46">
        <v>45478</v>
      </c>
      <c r="I62" s="45">
        <v>497.99</v>
      </c>
    </row>
    <row r="63" spans="1:9" ht="17" customHeight="1" x14ac:dyDescent="0.35">
      <c r="A63" s="45" t="s">
        <v>35</v>
      </c>
      <c r="B63" s="45" t="s">
        <v>55</v>
      </c>
      <c r="C63" s="45" t="s">
        <v>34</v>
      </c>
      <c r="D63" s="45" t="s">
        <v>39</v>
      </c>
      <c r="E63" s="45">
        <v>488.99</v>
      </c>
      <c r="F63" s="45">
        <v>9</v>
      </c>
      <c r="G63" s="45">
        <v>0</v>
      </c>
      <c r="H63" s="46">
        <v>45479</v>
      </c>
      <c r="I63" s="45">
        <v>220.05</v>
      </c>
    </row>
    <row r="64" spans="1:9" ht="17" customHeight="1" x14ac:dyDescent="0.35">
      <c r="A64" s="45" t="s">
        <v>30</v>
      </c>
      <c r="B64" s="45" t="s">
        <v>31</v>
      </c>
      <c r="C64" s="45" t="s">
        <v>18</v>
      </c>
      <c r="D64" s="45" t="s">
        <v>27</v>
      </c>
      <c r="E64" s="45">
        <v>933.71</v>
      </c>
      <c r="F64" s="45">
        <v>17</v>
      </c>
      <c r="G64" s="45">
        <v>0.1</v>
      </c>
      <c r="H64" s="46">
        <v>45481</v>
      </c>
      <c r="I64" s="45">
        <v>294.12</v>
      </c>
    </row>
    <row r="65" spans="1:9" ht="17" customHeight="1" x14ac:dyDescent="0.35">
      <c r="A65" s="45" t="s">
        <v>67</v>
      </c>
      <c r="B65" s="45" t="s">
        <v>10</v>
      </c>
      <c r="C65" s="45" t="s">
        <v>11</v>
      </c>
      <c r="D65" s="45" t="s">
        <v>21</v>
      </c>
      <c r="E65" s="45">
        <v>1005.53</v>
      </c>
      <c r="F65" s="45">
        <v>17</v>
      </c>
      <c r="G65" s="45">
        <v>0.2</v>
      </c>
      <c r="H65" s="46">
        <v>45481</v>
      </c>
      <c r="I65" s="45">
        <v>201.11</v>
      </c>
    </row>
    <row r="66" spans="1:9" ht="17" customHeight="1" x14ac:dyDescent="0.35">
      <c r="A66" s="45" t="s">
        <v>41</v>
      </c>
      <c r="B66" s="45" t="s">
        <v>61</v>
      </c>
      <c r="C66" s="45" t="s">
        <v>20</v>
      </c>
      <c r="D66" s="45" t="s">
        <v>21</v>
      </c>
      <c r="E66" s="45">
        <v>1100.0999999999999</v>
      </c>
      <c r="F66" s="45">
        <v>5</v>
      </c>
      <c r="G66" s="45">
        <v>0.05</v>
      </c>
      <c r="H66" s="46">
        <v>45482</v>
      </c>
      <c r="I66" s="45">
        <v>261.27</v>
      </c>
    </row>
    <row r="67" spans="1:9" ht="17" customHeight="1" x14ac:dyDescent="0.35">
      <c r="A67" s="45" t="s">
        <v>67</v>
      </c>
      <c r="B67" s="45" t="s">
        <v>23</v>
      </c>
      <c r="C67" s="45" t="s">
        <v>24</v>
      </c>
      <c r="D67" s="45" t="s">
        <v>27</v>
      </c>
      <c r="E67" s="45">
        <v>1034.7</v>
      </c>
      <c r="F67" s="45">
        <v>15</v>
      </c>
      <c r="G67" s="45">
        <v>0.15</v>
      </c>
      <c r="H67" s="46">
        <v>45487</v>
      </c>
      <c r="I67" s="45">
        <v>307.82</v>
      </c>
    </row>
    <row r="68" spans="1:9" ht="17" customHeight="1" x14ac:dyDescent="0.35">
      <c r="A68" s="45" t="s">
        <v>65</v>
      </c>
      <c r="B68" s="45" t="s">
        <v>31</v>
      </c>
      <c r="C68" s="45" t="s">
        <v>20</v>
      </c>
      <c r="D68" s="45" t="s">
        <v>12</v>
      </c>
      <c r="E68" s="45">
        <v>876.44</v>
      </c>
      <c r="F68" s="45">
        <v>12</v>
      </c>
      <c r="G68" s="45">
        <v>0.05</v>
      </c>
      <c r="H68" s="46">
        <v>45488</v>
      </c>
      <c r="I68" s="45">
        <v>333.05</v>
      </c>
    </row>
    <row r="69" spans="1:9" ht="17" customHeight="1" x14ac:dyDescent="0.35">
      <c r="A69" s="45" t="s">
        <v>68</v>
      </c>
      <c r="B69" s="45" t="s">
        <v>55</v>
      </c>
      <c r="C69" s="45" t="s">
        <v>11</v>
      </c>
      <c r="D69" s="45" t="s">
        <v>27</v>
      </c>
      <c r="E69" s="45">
        <v>1371.34</v>
      </c>
      <c r="F69" s="45">
        <v>5</v>
      </c>
      <c r="G69" s="45">
        <v>0.05</v>
      </c>
      <c r="H69" s="46">
        <v>45488</v>
      </c>
      <c r="I69" s="45">
        <v>455.97</v>
      </c>
    </row>
    <row r="70" spans="1:9" ht="17" customHeight="1" x14ac:dyDescent="0.35">
      <c r="A70" s="45" t="s">
        <v>57</v>
      </c>
      <c r="B70" s="45" t="s">
        <v>47</v>
      </c>
      <c r="C70" s="45" t="s">
        <v>24</v>
      </c>
      <c r="D70" s="45" t="s">
        <v>21</v>
      </c>
      <c r="E70" s="45">
        <v>1020.26</v>
      </c>
      <c r="F70" s="45">
        <v>11</v>
      </c>
      <c r="G70" s="45">
        <v>0.05</v>
      </c>
      <c r="H70" s="46">
        <v>45494</v>
      </c>
      <c r="I70" s="45">
        <v>242.31</v>
      </c>
    </row>
    <row r="71" spans="1:9" ht="17" customHeight="1" x14ac:dyDescent="0.35">
      <c r="A71" s="45" t="s">
        <v>44</v>
      </c>
      <c r="B71" s="45" t="s">
        <v>10</v>
      </c>
      <c r="C71" s="45" t="s">
        <v>34</v>
      </c>
      <c r="D71" s="45" t="s">
        <v>39</v>
      </c>
      <c r="E71" s="45">
        <v>804.81</v>
      </c>
      <c r="F71" s="45">
        <v>1</v>
      </c>
      <c r="G71" s="45">
        <v>0.05</v>
      </c>
      <c r="H71" s="46">
        <v>45502</v>
      </c>
      <c r="I71" s="45">
        <v>344.06</v>
      </c>
    </row>
    <row r="72" spans="1:9" ht="17" customHeight="1" x14ac:dyDescent="0.35">
      <c r="A72" s="45" t="s">
        <v>22</v>
      </c>
      <c r="B72" s="45" t="s">
        <v>55</v>
      </c>
      <c r="C72" s="45" t="s">
        <v>34</v>
      </c>
      <c r="D72" s="45" t="s">
        <v>21</v>
      </c>
      <c r="E72" s="45">
        <v>608.66</v>
      </c>
      <c r="F72" s="45">
        <v>1</v>
      </c>
      <c r="G72" s="45">
        <v>0.05</v>
      </c>
      <c r="H72" s="46">
        <v>45503</v>
      </c>
      <c r="I72" s="45">
        <v>144.56</v>
      </c>
    </row>
    <row r="73" spans="1:9" ht="17" customHeight="1" x14ac:dyDescent="0.35">
      <c r="A73" s="45" t="s">
        <v>68</v>
      </c>
      <c r="B73" s="45" t="s">
        <v>69</v>
      </c>
      <c r="C73" s="45" t="s">
        <v>20</v>
      </c>
      <c r="D73" s="45" t="s">
        <v>39</v>
      </c>
      <c r="E73" s="45">
        <v>981.2</v>
      </c>
      <c r="F73" s="45">
        <v>19</v>
      </c>
      <c r="G73" s="45">
        <v>0</v>
      </c>
      <c r="H73" s="46">
        <v>45504</v>
      </c>
      <c r="I73" s="45">
        <v>441.54</v>
      </c>
    </row>
    <row r="74" spans="1:9" ht="17" customHeight="1" x14ac:dyDescent="0.35">
      <c r="A74" s="45" t="s">
        <v>70</v>
      </c>
      <c r="B74" s="45" t="s">
        <v>55</v>
      </c>
      <c r="C74" s="45" t="s">
        <v>18</v>
      </c>
      <c r="D74" s="45" t="s">
        <v>21</v>
      </c>
      <c r="E74" s="45">
        <v>539.77</v>
      </c>
      <c r="F74" s="45">
        <v>10</v>
      </c>
      <c r="G74" s="45">
        <v>0.15</v>
      </c>
      <c r="H74" s="46">
        <v>45509</v>
      </c>
      <c r="I74" s="45">
        <v>114.7</v>
      </c>
    </row>
    <row r="75" spans="1:9" ht="17" customHeight="1" x14ac:dyDescent="0.35">
      <c r="A75" s="45" t="s">
        <v>13</v>
      </c>
      <c r="B75" s="45" t="s">
        <v>71</v>
      </c>
      <c r="C75" s="45" t="s">
        <v>20</v>
      </c>
      <c r="D75" s="45" t="s">
        <v>12</v>
      </c>
      <c r="E75" s="45">
        <v>804.45</v>
      </c>
      <c r="F75" s="45">
        <v>5</v>
      </c>
      <c r="G75" s="45">
        <v>0.2</v>
      </c>
      <c r="H75" s="46">
        <v>45509</v>
      </c>
      <c r="I75" s="45">
        <v>257.42</v>
      </c>
    </row>
    <row r="76" spans="1:9" ht="17" customHeight="1" x14ac:dyDescent="0.35">
      <c r="A76" s="45" t="s">
        <v>70</v>
      </c>
      <c r="B76" s="45" t="s">
        <v>38</v>
      </c>
      <c r="C76" s="45" t="s">
        <v>11</v>
      </c>
      <c r="D76" s="45" t="s">
        <v>21</v>
      </c>
      <c r="E76" s="45">
        <v>1526.6</v>
      </c>
      <c r="F76" s="45">
        <v>13</v>
      </c>
      <c r="G76" s="45">
        <v>0.2</v>
      </c>
      <c r="H76" s="46">
        <v>45512</v>
      </c>
      <c r="I76" s="45">
        <v>305.32</v>
      </c>
    </row>
    <row r="77" spans="1:9" ht="17" customHeight="1" x14ac:dyDescent="0.35">
      <c r="A77" s="45" t="s">
        <v>13</v>
      </c>
      <c r="B77" s="45" t="s">
        <v>29</v>
      </c>
      <c r="C77" s="45" t="s">
        <v>11</v>
      </c>
      <c r="D77" s="45" t="s">
        <v>21</v>
      </c>
      <c r="E77" s="45">
        <v>1215.26</v>
      </c>
      <c r="F77" s="45">
        <v>5</v>
      </c>
      <c r="G77" s="45">
        <v>0.15</v>
      </c>
      <c r="H77" s="46">
        <v>45513</v>
      </c>
      <c r="I77" s="45">
        <v>258.24</v>
      </c>
    </row>
    <row r="78" spans="1:9" ht="17" customHeight="1" x14ac:dyDescent="0.35">
      <c r="A78" s="45" t="s">
        <v>19</v>
      </c>
      <c r="B78" s="45" t="s">
        <v>53</v>
      </c>
      <c r="C78" s="45" t="s">
        <v>34</v>
      </c>
      <c r="D78" s="45" t="s">
        <v>27</v>
      </c>
      <c r="E78" s="45">
        <v>1261.3399999999999</v>
      </c>
      <c r="F78" s="45">
        <v>3</v>
      </c>
      <c r="G78" s="45">
        <v>0</v>
      </c>
      <c r="H78" s="46">
        <v>45519</v>
      </c>
      <c r="I78" s="45">
        <v>441.47</v>
      </c>
    </row>
    <row r="79" spans="1:9" ht="17" customHeight="1" x14ac:dyDescent="0.35">
      <c r="A79" s="45" t="s">
        <v>72</v>
      </c>
      <c r="B79" s="45" t="s">
        <v>45</v>
      </c>
      <c r="C79" s="45" t="s">
        <v>24</v>
      </c>
      <c r="D79" s="45" t="s">
        <v>27</v>
      </c>
      <c r="E79" s="45">
        <v>518.07000000000005</v>
      </c>
      <c r="F79" s="45">
        <v>7</v>
      </c>
      <c r="G79" s="45">
        <v>0.05</v>
      </c>
      <c r="H79" s="46">
        <v>45522</v>
      </c>
      <c r="I79" s="45">
        <v>172.26</v>
      </c>
    </row>
    <row r="80" spans="1:9" ht="17" customHeight="1" x14ac:dyDescent="0.35">
      <c r="A80" s="45" t="s">
        <v>30</v>
      </c>
      <c r="B80" s="45" t="s">
        <v>29</v>
      </c>
      <c r="C80" s="45" t="s">
        <v>11</v>
      </c>
      <c r="D80" s="45" t="s">
        <v>39</v>
      </c>
      <c r="E80" s="45">
        <v>1111.3399999999999</v>
      </c>
      <c r="F80" s="45">
        <v>1</v>
      </c>
      <c r="G80" s="45">
        <v>0</v>
      </c>
      <c r="H80" s="46">
        <v>45523</v>
      </c>
      <c r="I80" s="45">
        <v>500.1</v>
      </c>
    </row>
    <row r="81" spans="1:9" ht="17" customHeight="1" x14ac:dyDescent="0.35">
      <c r="A81" s="45" t="s">
        <v>22</v>
      </c>
      <c r="B81" s="45" t="s">
        <v>31</v>
      </c>
      <c r="C81" s="45" t="s">
        <v>18</v>
      </c>
      <c r="D81" s="45" t="s">
        <v>15</v>
      </c>
      <c r="E81" s="45">
        <v>1291.47</v>
      </c>
      <c r="F81" s="45">
        <v>18</v>
      </c>
      <c r="G81" s="45">
        <v>0.1</v>
      </c>
      <c r="H81" s="46">
        <v>45526</v>
      </c>
      <c r="I81" s="45">
        <v>581.16</v>
      </c>
    </row>
    <row r="82" spans="1:9" ht="17" customHeight="1" x14ac:dyDescent="0.35">
      <c r="A82" s="45" t="s">
        <v>25</v>
      </c>
      <c r="B82" s="45" t="s">
        <v>55</v>
      </c>
      <c r="C82" s="45" t="s">
        <v>24</v>
      </c>
      <c r="D82" s="45" t="s">
        <v>12</v>
      </c>
      <c r="E82" s="45">
        <v>679.71</v>
      </c>
      <c r="F82" s="45">
        <v>19</v>
      </c>
      <c r="G82" s="45">
        <v>0</v>
      </c>
      <c r="H82" s="46">
        <v>45534</v>
      </c>
      <c r="I82" s="45">
        <v>271.88</v>
      </c>
    </row>
    <row r="83" spans="1:9" ht="17" customHeight="1" x14ac:dyDescent="0.35">
      <c r="A83" s="45" t="s">
        <v>68</v>
      </c>
      <c r="B83" s="45" t="s">
        <v>33</v>
      </c>
      <c r="C83" s="45" t="s">
        <v>18</v>
      </c>
      <c r="D83" s="45" t="s">
        <v>27</v>
      </c>
      <c r="E83" s="45">
        <v>1143.69</v>
      </c>
      <c r="F83" s="45">
        <v>17</v>
      </c>
      <c r="G83" s="45">
        <v>0</v>
      </c>
      <c r="H83" s="46">
        <v>45534</v>
      </c>
      <c r="I83" s="45">
        <v>400.29</v>
      </c>
    </row>
    <row r="84" spans="1:9" ht="17" customHeight="1" x14ac:dyDescent="0.35">
      <c r="A84" s="45" t="s">
        <v>52</v>
      </c>
      <c r="B84" s="45" t="s">
        <v>50</v>
      </c>
      <c r="C84" s="45" t="s">
        <v>34</v>
      </c>
      <c r="D84" s="45" t="s">
        <v>21</v>
      </c>
      <c r="E84" s="45">
        <v>790.08</v>
      </c>
      <c r="F84" s="45">
        <v>7</v>
      </c>
      <c r="G84" s="45">
        <v>0.1</v>
      </c>
      <c r="H84" s="46">
        <v>45536</v>
      </c>
      <c r="I84" s="45">
        <v>177.77</v>
      </c>
    </row>
    <row r="85" spans="1:9" ht="17" customHeight="1" x14ac:dyDescent="0.35">
      <c r="A85" s="45" t="s">
        <v>19</v>
      </c>
      <c r="B85" s="45" t="s">
        <v>48</v>
      </c>
      <c r="C85" s="45" t="s">
        <v>34</v>
      </c>
      <c r="D85" s="45" t="s">
        <v>12</v>
      </c>
      <c r="E85" s="45">
        <v>1070.68</v>
      </c>
      <c r="F85" s="45">
        <v>7</v>
      </c>
      <c r="G85" s="45">
        <v>0.05</v>
      </c>
      <c r="H85" s="46">
        <v>45536</v>
      </c>
      <c r="I85" s="45">
        <v>406.86</v>
      </c>
    </row>
    <row r="86" spans="1:9" ht="17" customHeight="1" x14ac:dyDescent="0.35">
      <c r="A86" s="45" t="s">
        <v>58</v>
      </c>
      <c r="B86" s="45" t="s">
        <v>36</v>
      </c>
      <c r="C86" s="45" t="s">
        <v>11</v>
      </c>
      <c r="D86" s="45" t="s">
        <v>15</v>
      </c>
      <c r="E86" s="45">
        <v>1168.8900000000001</v>
      </c>
      <c r="F86" s="45">
        <v>4</v>
      </c>
      <c r="G86" s="45">
        <v>0.1</v>
      </c>
      <c r="H86" s="46">
        <v>45544</v>
      </c>
      <c r="I86" s="45">
        <v>526</v>
      </c>
    </row>
    <row r="87" spans="1:9" ht="17" customHeight="1" x14ac:dyDescent="0.35">
      <c r="A87" s="45" t="s">
        <v>67</v>
      </c>
      <c r="B87" s="45" t="s">
        <v>10</v>
      </c>
      <c r="C87" s="45" t="s">
        <v>20</v>
      </c>
      <c r="D87" s="45" t="s">
        <v>21</v>
      </c>
      <c r="E87" s="45">
        <v>1335.87</v>
      </c>
      <c r="F87" s="45">
        <v>17</v>
      </c>
      <c r="G87" s="45">
        <v>0</v>
      </c>
      <c r="H87" s="46">
        <v>45544</v>
      </c>
      <c r="I87" s="45">
        <v>333.97</v>
      </c>
    </row>
    <row r="88" spans="1:9" ht="17" customHeight="1" x14ac:dyDescent="0.35">
      <c r="A88" s="45" t="s">
        <v>40</v>
      </c>
      <c r="B88" s="45" t="s">
        <v>55</v>
      </c>
      <c r="C88" s="45" t="s">
        <v>18</v>
      </c>
      <c r="D88" s="45" t="s">
        <v>27</v>
      </c>
      <c r="E88" s="45">
        <v>873.7</v>
      </c>
      <c r="F88" s="45">
        <v>9</v>
      </c>
      <c r="G88" s="45">
        <v>0</v>
      </c>
      <c r="H88" s="46">
        <v>45546</v>
      </c>
      <c r="I88" s="45">
        <v>305.8</v>
      </c>
    </row>
    <row r="89" spans="1:9" ht="17" customHeight="1" x14ac:dyDescent="0.35">
      <c r="A89" s="45" t="s">
        <v>72</v>
      </c>
      <c r="B89" s="45" t="s">
        <v>64</v>
      </c>
      <c r="C89" s="45" t="s">
        <v>11</v>
      </c>
      <c r="D89" s="45" t="s">
        <v>39</v>
      </c>
      <c r="E89" s="45">
        <v>1443.98</v>
      </c>
      <c r="F89" s="45">
        <v>19</v>
      </c>
      <c r="G89" s="45">
        <v>0</v>
      </c>
      <c r="H89" s="46">
        <v>45547</v>
      </c>
      <c r="I89" s="45">
        <v>649.79</v>
      </c>
    </row>
    <row r="90" spans="1:9" ht="17" customHeight="1" x14ac:dyDescent="0.35">
      <c r="A90" s="45" t="s">
        <v>40</v>
      </c>
      <c r="B90" s="45" t="s">
        <v>23</v>
      </c>
      <c r="C90" s="45" t="s">
        <v>18</v>
      </c>
      <c r="D90" s="45" t="s">
        <v>39</v>
      </c>
      <c r="E90" s="45">
        <v>1154.33</v>
      </c>
      <c r="F90" s="45">
        <v>11</v>
      </c>
      <c r="G90" s="45">
        <v>0.15</v>
      </c>
      <c r="H90" s="46">
        <v>45549</v>
      </c>
      <c r="I90" s="45">
        <v>441.53</v>
      </c>
    </row>
    <row r="91" spans="1:9" ht="17" customHeight="1" x14ac:dyDescent="0.35">
      <c r="A91" s="45" t="s">
        <v>49</v>
      </c>
      <c r="B91" s="45" t="s">
        <v>50</v>
      </c>
      <c r="C91" s="45" t="s">
        <v>20</v>
      </c>
      <c r="D91" s="45" t="s">
        <v>12</v>
      </c>
      <c r="E91" s="45">
        <v>1264.49</v>
      </c>
      <c r="F91" s="45">
        <v>16</v>
      </c>
      <c r="G91" s="45">
        <v>0.05</v>
      </c>
      <c r="H91" s="46">
        <v>45549</v>
      </c>
      <c r="I91" s="45">
        <v>480.51</v>
      </c>
    </row>
    <row r="92" spans="1:9" ht="17" customHeight="1" x14ac:dyDescent="0.35">
      <c r="A92" s="45" t="s">
        <v>25</v>
      </c>
      <c r="B92" s="45" t="s">
        <v>66</v>
      </c>
      <c r="C92" s="45" t="s">
        <v>11</v>
      </c>
      <c r="D92" s="45" t="s">
        <v>27</v>
      </c>
      <c r="E92" s="45">
        <v>1101.55</v>
      </c>
      <c r="F92" s="45">
        <v>4</v>
      </c>
      <c r="G92" s="45">
        <v>0.1</v>
      </c>
      <c r="H92" s="46">
        <v>45551</v>
      </c>
      <c r="I92" s="45">
        <v>346.99</v>
      </c>
    </row>
    <row r="93" spans="1:9" ht="17" customHeight="1" x14ac:dyDescent="0.35">
      <c r="A93" s="45" t="s">
        <v>73</v>
      </c>
      <c r="B93" s="45" t="s">
        <v>14</v>
      </c>
      <c r="C93" s="45" t="s">
        <v>20</v>
      </c>
      <c r="D93" s="45" t="s">
        <v>27</v>
      </c>
      <c r="E93" s="45">
        <v>727.73</v>
      </c>
      <c r="F93" s="45">
        <v>1</v>
      </c>
      <c r="G93" s="45">
        <v>0.1</v>
      </c>
      <c r="H93" s="46">
        <v>45552</v>
      </c>
      <c r="I93" s="45">
        <v>229.23</v>
      </c>
    </row>
    <row r="94" spans="1:9" ht="17" customHeight="1" x14ac:dyDescent="0.35">
      <c r="A94" s="45" t="s">
        <v>74</v>
      </c>
      <c r="B94" s="45" t="s">
        <v>38</v>
      </c>
      <c r="C94" s="45" t="s">
        <v>18</v>
      </c>
      <c r="D94" s="45" t="s">
        <v>39</v>
      </c>
      <c r="E94" s="45">
        <v>875.41</v>
      </c>
      <c r="F94" s="45">
        <v>13</v>
      </c>
      <c r="G94" s="45">
        <v>0.15</v>
      </c>
      <c r="H94" s="46">
        <v>45552</v>
      </c>
      <c r="I94" s="45">
        <v>334.84</v>
      </c>
    </row>
    <row r="95" spans="1:9" ht="17" customHeight="1" x14ac:dyDescent="0.35">
      <c r="A95" s="45" t="s">
        <v>67</v>
      </c>
      <c r="B95" s="45" t="s">
        <v>23</v>
      </c>
      <c r="C95" s="45" t="s">
        <v>11</v>
      </c>
      <c r="D95" s="45" t="s">
        <v>21</v>
      </c>
      <c r="E95" s="45">
        <v>1158.94</v>
      </c>
      <c r="F95" s="45">
        <v>19</v>
      </c>
      <c r="G95" s="45">
        <v>0.2</v>
      </c>
      <c r="H95" s="46">
        <v>45553</v>
      </c>
      <c r="I95" s="45">
        <v>231.79</v>
      </c>
    </row>
    <row r="96" spans="1:9" ht="17" customHeight="1" x14ac:dyDescent="0.35">
      <c r="A96" s="45" t="s">
        <v>75</v>
      </c>
      <c r="B96" s="45" t="s">
        <v>47</v>
      </c>
      <c r="C96" s="45" t="s">
        <v>20</v>
      </c>
      <c r="D96" s="45" t="s">
        <v>12</v>
      </c>
      <c r="E96" s="45">
        <v>966.3</v>
      </c>
      <c r="F96" s="45">
        <v>2</v>
      </c>
      <c r="G96" s="45">
        <v>0.15</v>
      </c>
      <c r="H96" s="46">
        <v>45557</v>
      </c>
      <c r="I96" s="45">
        <v>328.54</v>
      </c>
    </row>
    <row r="97" spans="1:9" ht="17" customHeight="1" x14ac:dyDescent="0.35">
      <c r="A97" s="45" t="s">
        <v>68</v>
      </c>
      <c r="B97" s="45" t="s">
        <v>17</v>
      </c>
      <c r="C97" s="45" t="s">
        <v>20</v>
      </c>
      <c r="D97" s="45" t="s">
        <v>12</v>
      </c>
      <c r="E97" s="45">
        <v>917.48</v>
      </c>
      <c r="F97" s="45">
        <v>6</v>
      </c>
      <c r="G97" s="45">
        <v>0</v>
      </c>
      <c r="H97" s="46">
        <v>45558</v>
      </c>
      <c r="I97" s="45">
        <v>366.99</v>
      </c>
    </row>
    <row r="98" spans="1:9" ht="17" customHeight="1" x14ac:dyDescent="0.35">
      <c r="A98" s="45" t="s">
        <v>41</v>
      </c>
      <c r="B98" s="45" t="s">
        <v>61</v>
      </c>
      <c r="C98" s="45" t="s">
        <v>11</v>
      </c>
      <c r="D98" s="45" t="s">
        <v>27</v>
      </c>
      <c r="E98" s="45">
        <v>1172.97</v>
      </c>
      <c r="F98" s="45">
        <v>7</v>
      </c>
      <c r="G98" s="45">
        <v>0.15</v>
      </c>
      <c r="H98" s="46">
        <v>45559</v>
      </c>
      <c r="I98" s="45">
        <v>348.96</v>
      </c>
    </row>
    <row r="99" spans="1:9" ht="17" customHeight="1" x14ac:dyDescent="0.35">
      <c r="A99" s="45" t="s">
        <v>57</v>
      </c>
      <c r="B99" s="45" t="s">
        <v>23</v>
      </c>
      <c r="C99" s="45" t="s">
        <v>24</v>
      </c>
      <c r="D99" s="45" t="s">
        <v>15</v>
      </c>
      <c r="E99" s="45">
        <v>1205.82</v>
      </c>
      <c r="F99" s="45">
        <v>11</v>
      </c>
      <c r="G99" s="45">
        <v>0.1</v>
      </c>
      <c r="H99" s="46">
        <v>45559</v>
      </c>
      <c r="I99" s="45">
        <v>542.62</v>
      </c>
    </row>
    <row r="100" spans="1:9" ht="17" customHeight="1" x14ac:dyDescent="0.35">
      <c r="A100" s="45" t="s">
        <v>16</v>
      </c>
      <c r="B100" s="45" t="s">
        <v>64</v>
      </c>
      <c r="C100" s="45" t="s">
        <v>11</v>
      </c>
      <c r="D100" s="45" t="s">
        <v>39</v>
      </c>
      <c r="E100" s="45">
        <v>826.93</v>
      </c>
      <c r="F100" s="45">
        <v>10</v>
      </c>
      <c r="G100" s="45">
        <v>0.2</v>
      </c>
      <c r="H100" s="46">
        <v>45564</v>
      </c>
      <c r="I100" s="45">
        <v>297.69</v>
      </c>
    </row>
    <row r="101" spans="1:9" ht="17" customHeight="1" x14ac:dyDescent="0.35">
      <c r="A101" s="45" t="s">
        <v>67</v>
      </c>
      <c r="B101" s="45" t="s">
        <v>23</v>
      </c>
      <c r="C101" s="45" t="s">
        <v>34</v>
      </c>
      <c r="D101" s="45" t="s">
        <v>15</v>
      </c>
      <c r="E101" s="45">
        <v>902.19</v>
      </c>
      <c r="F101" s="45">
        <v>12</v>
      </c>
      <c r="G101" s="45">
        <v>0</v>
      </c>
      <c r="H101" s="46">
        <v>45564</v>
      </c>
      <c r="I101" s="45">
        <v>451.1</v>
      </c>
    </row>
    <row r="102" spans="1:9" ht="17" customHeight="1" x14ac:dyDescent="0.35">
      <c r="A102" s="45" t="s">
        <v>74</v>
      </c>
      <c r="B102" s="45" t="s">
        <v>38</v>
      </c>
      <c r="C102" s="45" t="s">
        <v>24</v>
      </c>
      <c r="D102" s="45" t="s">
        <v>12</v>
      </c>
      <c r="E102" s="45">
        <v>585.97</v>
      </c>
      <c r="F102" s="45">
        <v>17</v>
      </c>
      <c r="G102" s="45">
        <v>0.1</v>
      </c>
      <c r="H102" s="46">
        <v>45565</v>
      </c>
      <c r="I102" s="45">
        <v>210.95</v>
      </c>
    </row>
    <row r="103" spans="1:9" ht="17" customHeight="1" x14ac:dyDescent="0.35">
      <c r="A103" s="45" t="s">
        <v>60</v>
      </c>
      <c r="B103" s="45" t="s">
        <v>26</v>
      </c>
      <c r="C103" s="45" t="s">
        <v>24</v>
      </c>
      <c r="D103" s="45" t="s">
        <v>15</v>
      </c>
      <c r="E103" s="45">
        <v>990.19</v>
      </c>
      <c r="F103" s="45">
        <v>8</v>
      </c>
      <c r="G103" s="45">
        <v>0.1</v>
      </c>
      <c r="H103" s="46">
        <v>45565</v>
      </c>
      <c r="I103" s="45">
        <v>445.59</v>
      </c>
    </row>
    <row r="104" spans="1:9" ht="17" customHeight="1" x14ac:dyDescent="0.35">
      <c r="A104" s="45" t="s">
        <v>44</v>
      </c>
      <c r="B104" s="45" t="s">
        <v>56</v>
      </c>
      <c r="C104" s="45" t="s">
        <v>34</v>
      </c>
      <c r="D104" s="45" t="s">
        <v>21</v>
      </c>
      <c r="E104" s="45">
        <v>1014.09</v>
      </c>
      <c r="F104" s="45">
        <v>13</v>
      </c>
      <c r="G104" s="45">
        <v>0.2</v>
      </c>
      <c r="H104" s="46">
        <v>45567</v>
      </c>
      <c r="I104" s="45">
        <v>202.82</v>
      </c>
    </row>
    <row r="105" spans="1:9" ht="17" customHeight="1" x14ac:dyDescent="0.35">
      <c r="A105" s="45" t="s">
        <v>13</v>
      </c>
      <c r="B105" s="45" t="s">
        <v>48</v>
      </c>
      <c r="C105" s="45" t="s">
        <v>24</v>
      </c>
      <c r="D105" s="45" t="s">
        <v>21</v>
      </c>
      <c r="E105" s="45">
        <v>925.29</v>
      </c>
      <c r="F105" s="45">
        <v>17</v>
      </c>
      <c r="G105" s="45">
        <v>0</v>
      </c>
      <c r="H105" s="46">
        <v>45570</v>
      </c>
      <c r="I105" s="45">
        <v>231.32</v>
      </c>
    </row>
    <row r="106" spans="1:9" ht="17" customHeight="1" x14ac:dyDescent="0.35">
      <c r="A106" s="45" t="s">
        <v>54</v>
      </c>
      <c r="B106" s="45" t="s">
        <v>47</v>
      </c>
      <c r="C106" s="45" t="s">
        <v>18</v>
      </c>
      <c r="D106" s="45" t="s">
        <v>27</v>
      </c>
      <c r="E106" s="45">
        <v>1286.54</v>
      </c>
      <c r="F106" s="45">
        <v>8</v>
      </c>
      <c r="G106" s="45">
        <v>0</v>
      </c>
      <c r="H106" s="46">
        <v>45575</v>
      </c>
      <c r="I106" s="45">
        <v>450.29</v>
      </c>
    </row>
    <row r="107" spans="1:9" ht="17" customHeight="1" x14ac:dyDescent="0.35">
      <c r="A107" s="45" t="s">
        <v>37</v>
      </c>
      <c r="B107" s="45" t="s">
        <v>64</v>
      </c>
      <c r="C107" s="45" t="s">
        <v>20</v>
      </c>
      <c r="D107" s="45" t="s">
        <v>12</v>
      </c>
      <c r="E107" s="45">
        <v>961.62</v>
      </c>
      <c r="F107" s="45">
        <v>8</v>
      </c>
      <c r="G107" s="45">
        <v>0.2</v>
      </c>
      <c r="H107" s="46">
        <v>45577</v>
      </c>
      <c r="I107" s="45">
        <v>307.72000000000003</v>
      </c>
    </row>
    <row r="108" spans="1:9" ht="17" customHeight="1" x14ac:dyDescent="0.35">
      <c r="A108" s="45" t="s">
        <v>44</v>
      </c>
      <c r="B108" s="45" t="s">
        <v>23</v>
      </c>
      <c r="C108" s="45" t="s">
        <v>18</v>
      </c>
      <c r="D108" s="45" t="s">
        <v>12</v>
      </c>
      <c r="E108" s="45">
        <v>1081.1400000000001</v>
      </c>
      <c r="F108" s="45">
        <v>19</v>
      </c>
      <c r="G108" s="45">
        <v>0.15</v>
      </c>
      <c r="H108" s="46">
        <v>45577</v>
      </c>
      <c r="I108" s="45">
        <v>367.59</v>
      </c>
    </row>
    <row r="109" spans="1:9" ht="17" customHeight="1" x14ac:dyDescent="0.35">
      <c r="A109" s="45" t="s">
        <v>58</v>
      </c>
      <c r="B109" s="45" t="s">
        <v>23</v>
      </c>
      <c r="C109" s="45" t="s">
        <v>11</v>
      </c>
      <c r="D109" s="45" t="s">
        <v>15</v>
      </c>
      <c r="E109" s="45">
        <v>1923.66</v>
      </c>
      <c r="F109" s="45">
        <v>9</v>
      </c>
      <c r="G109" s="45">
        <v>0.2</v>
      </c>
      <c r="H109" s="46">
        <v>45580</v>
      </c>
      <c r="I109" s="45">
        <v>769.46</v>
      </c>
    </row>
    <row r="110" spans="1:9" ht="17" customHeight="1" x14ac:dyDescent="0.35">
      <c r="A110" s="45" t="s">
        <v>54</v>
      </c>
      <c r="B110" s="45" t="s">
        <v>66</v>
      </c>
      <c r="C110" s="45" t="s">
        <v>34</v>
      </c>
      <c r="D110" s="45" t="s">
        <v>15</v>
      </c>
      <c r="E110" s="45">
        <v>728.71</v>
      </c>
      <c r="F110" s="45">
        <v>14</v>
      </c>
      <c r="G110" s="45">
        <v>0.1</v>
      </c>
      <c r="H110" s="46">
        <v>45581</v>
      </c>
      <c r="I110" s="45">
        <v>327.92</v>
      </c>
    </row>
    <row r="111" spans="1:9" ht="17" customHeight="1" x14ac:dyDescent="0.35">
      <c r="A111" s="45" t="s">
        <v>9</v>
      </c>
      <c r="B111" s="45" t="s">
        <v>33</v>
      </c>
      <c r="C111" s="45" t="s">
        <v>34</v>
      </c>
      <c r="D111" s="45" t="s">
        <v>15</v>
      </c>
      <c r="E111" s="45">
        <v>1301.8900000000001</v>
      </c>
      <c r="F111" s="45">
        <v>7</v>
      </c>
      <c r="G111" s="45">
        <v>0.15</v>
      </c>
      <c r="H111" s="46">
        <v>45581</v>
      </c>
      <c r="I111" s="45">
        <v>553.29999999999995</v>
      </c>
    </row>
    <row r="112" spans="1:9" ht="17" customHeight="1" x14ac:dyDescent="0.35">
      <c r="A112" s="45" t="s">
        <v>70</v>
      </c>
      <c r="B112" s="45" t="s">
        <v>66</v>
      </c>
      <c r="C112" s="45" t="s">
        <v>18</v>
      </c>
      <c r="D112" s="45" t="s">
        <v>12</v>
      </c>
      <c r="E112" s="45">
        <v>980.18</v>
      </c>
      <c r="F112" s="45">
        <v>16</v>
      </c>
      <c r="G112" s="45">
        <v>0.1</v>
      </c>
      <c r="H112" s="46">
        <v>45582</v>
      </c>
      <c r="I112" s="45">
        <v>352.86</v>
      </c>
    </row>
    <row r="113" spans="1:9" ht="17" customHeight="1" x14ac:dyDescent="0.35">
      <c r="A113" s="45" t="s">
        <v>74</v>
      </c>
      <c r="B113" s="45" t="s">
        <v>23</v>
      </c>
      <c r="C113" s="45" t="s">
        <v>11</v>
      </c>
      <c r="D113" s="45" t="s">
        <v>15</v>
      </c>
      <c r="E113" s="45">
        <v>697.57</v>
      </c>
      <c r="F113" s="45">
        <v>17</v>
      </c>
      <c r="G113" s="45">
        <v>0.1</v>
      </c>
      <c r="H113" s="46">
        <v>45584</v>
      </c>
      <c r="I113" s="45">
        <v>313.91000000000003</v>
      </c>
    </row>
    <row r="114" spans="1:9" ht="17" customHeight="1" x14ac:dyDescent="0.35">
      <c r="A114" s="45" t="s">
        <v>46</v>
      </c>
      <c r="B114" s="45" t="s">
        <v>71</v>
      </c>
      <c r="C114" s="45" t="s">
        <v>11</v>
      </c>
      <c r="D114" s="45" t="s">
        <v>27</v>
      </c>
      <c r="E114" s="45">
        <v>1193.6099999999999</v>
      </c>
      <c r="F114" s="45">
        <v>1</v>
      </c>
      <c r="G114" s="45">
        <v>0.15</v>
      </c>
      <c r="H114" s="46">
        <v>45584</v>
      </c>
      <c r="I114" s="45">
        <v>355.1</v>
      </c>
    </row>
    <row r="115" spans="1:9" ht="17" customHeight="1" x14ac:dyDescent="0.35">
      <c r="A115" s="45" t="s">
        <v>32</v>
      </c>
      <c r="B115" s="45" t="s">
        <v>38</v>
      </c>
      <c r="C115" s="45" t="s">
        <v>20</v>
      </c>
      <c r="D115" s="45" t="s">
        <v>21</v>
      </c>
      <c r="E115" s="45">
        <v>771.02</v>
      </c>
      <c r="F115" s="45">
        <v>1</v>
      </c>
      <c r="G115" s="45">
        <v>0</v>
      </c>
      <c r="H115" s="46">
        <v>45585</v>
      </c>
      <c r="I115" s="45">
        <v>192.76</v>
      </c>
    </row>
    <row r="116" spans="1:9" ht="17" customHeight="1" x14ac:dyDescent="0.35">
      <c r="A116" s="45" t="s">
        <v>67</v>
      </c>
      <c r="B116" s="45" t="s">
        <v>69</v>
      </c>
      <c r="C116" s="45" t="s">
        <v>24</v>
      </c>
      <c r="D116" s="45" t="s">
        <v>15</v>
      </c>
      <c r="E116" s="45">
        <v>661.09</v>
      </c>
      <c r="F116" s="45">
        <v>1</v>
      </c>
      <c r="G116" s="45">
        <v>0.2</v>
      </c>
      <c r="H116" s="46">
        <v>45593</v>
      </c>
      <c r="I116" s="45">
        <v>264.44</v>
      </c>
    </row>
    <row r="117" spans="1:9" ht="17" customHeight="1" x14ac:dyDescent="0.35">
      <c r="A117" s="45" t="s">
        <v>13</v>
      </c>
      <c r="B117" s="45" t="s">
        <v>55</v>
      </c>
      <c r="C117" s="45" t="s">
        <v>11</v>
      </c>
      <c r="D117" s="45" t="s">
        <v>21</v>
      </c>
      <c r="E117" s="45">
        <v>688.83</v>
      </c>
      <c r="F117" s="45">
        <v>15</v>
      </c>
      <c r="G117" s="45">
        <v>0</v>
      </c>
      <c r="H117" s="46">
        <v>45595</v>
      </c>
      <c r="I117" s="45">
        <v>172.21</v>
      </c>
    </row>
    <row r="118" spans="1:9" ht="17" customHeight="1" x14ac:dyDescent="0.35">
      <c r="A118" s="45" t="s">
        <v>73</v>
      </c>
      <c r="B118" s="45" t="s">
        <v>29</v>
      </c>
      <c r="C118" s="45" t="s">
        <v>34</v>
      </c>
      <c r="D118" s="45" t="s">
        <v>12</v>
      </c>
      <c r="E118" s="45">
        <v>1249.0999999999999</v>
      </c>
      <c r="F118" s="45">
        <v>4</v>
      </c>
      <c r="G118" s="45">
        <v>0.05</v>
      </c>
      <c r="H118" s="46">
        <v>45597</v>
      </c>
      <c r="I118" s="45">
        <v>474.66</v>
      </c>
    </row>
    <row r="119" spans="1:9" ht="17" customHeight="1" x14ac:dyDescent="0.35">
      <c r="A119" s="45" t="s">
        <v>44</v>
      </c>
      <c r="B119" s="45" t="s">
        <v>23</v>
      </c>
      <c r="C119" s="45" t="s">
        <v>18</v>
      </c>
      <c r="D119" s="45" t="s">
        <v>39</v>
      </c>
      <c r="E119" s="45">
        <v>1014.22</v>
      </c>
      <c r="F119" s="45">
        <v>14</v>
      </c>
      <c r="G119" s="45">
        <v>0.05</v>
      </c>
      <c r="H119" s="46">
        <v>45599</v>
      </c>
      <c r="I119" s="45">
        <v>433.58</v>
      </c>
    </row>
    <row r="120" spans="1:9" ht="17" customHeight="1" x14ac:dyDescent="0.35">
      <c r="A120" s="45" t="s">
        <v>54</v>
      </c>
      <c r="B120" s="45" t="s">
        <v>48</v>
      </c>
      <c r="C120" s="45" t="s">
        <v>18</v>
      </c>
      <c r="D120" s="45" t="s">
        <v>12</v>
      </c>
      <c r="E120" s="45">
        <v>1010.58</v>
      </c>
      <c r="F120" s="45">
        <v>2</v>
      </c>
      <c r="G120" s="45">
        <v>0.15</v>
      </c>
      <c r="H120" s="46">
        <v>45605</v>
      </c>
      <c r="I120" s="45">
        <v>343.6</v>
      </c>
    </row>
    <row r="121" spans="1:9" ht="17" customHeight="1" x14ac:dyDescent="0.35">
      <c r="A121" s="45" t="s">
        <v>30</v>
      </c>
      <c r="B121" s="45" t="s">
        <v>59</v>
      </c>
      <c r="C121" s="45" t="s">
        <v>24</v>
      </c>
      <c r="D121" s="45" t="s">
        <v>27</v>
      </c>
      <c r="E121" s="45">
        <v>957.29</v>
      </c>
      <c r="F121" s="45">
        <v>4</v>
      </c>
      <c r="G121" s="45">
        <v>0.05</v>
      </c>
      <c r="H121" s="46">
        <v>45605</v>
      </c>
      <c r="I121" s="45">
        <v>318.3</v>
      </c>
    </row>
    <row r="122" spans="1:9" ht="17" customHeight="1" x14ac:dyDescent="0.35">
      <c r="A122" s="45" t="s">
        <v>28</v>
      </c>
      <c r="B122" s="45" t="s">
        <v>45</v>
      </c>
      <c r="C122" s="45" t="s">
        <v>24</v>
      </c>
      <c r="D122" s="45" t="s">
        <v>27</v>
      </c>
      <c r="E122" s="45">
        <v>1077.92</v>
      </c>
      <c r="F122" s="45">
        <v>3</v>
      </c>
      <c r="G122" s="45">
        <v>0.05</v>
      </c>
      <c r="H122" s="46">
        <v>45608</v>
      </c>
      <c r="I122" s="45">
        <v>358.41</v>
      </c>
    </row>
    <row r="123" spans="1:9" ht="17" customHeight="1" x14ac:dyDescent="0.35">
      <c r="A123" s="45" t="s">
        <v>52</v>
      </c>
      <c r="B123" s="45" t="s">
        <v>50</v>
      </c>
      <c r="C123" s="45" t="s">
        <v>20</v>
      </c>
      <c r="D123" s="45" t="s">
        <v>15</v>
      </c>
      <c r="E123" s="45">
        <v>1163.01</v>
      </c>
      <c r="F123" s="45">
        <v>5</v>
      </c>
      <c r="G123" s="45">
        <v>0</v>
      </c>
      <c r="H123" s="46">
        <v>45611</v>
      </c>
      <c r="I123" s="45">
        <v>581.5</v>
      </c>
    </row>
    <row r="124" spans="1:9" ht="17" customHeight="1" x14ac:dyDescent="0.35">
      <c r="A124" s="45" t="s">
        <v>54</v>
      </c>
      <c r="B124" s="45" t="s">
        <v>45</v>
      </c>
      <c r="C124" s="45" t="s">
        <v>18</v>
      </c>
      <c r="D124" s="45" t="s">
        <v>39</v>
      </c>
      <c r="E124" s="45">
        <v>1014.56</v>
      </c>
      <c r="F124" s="45">
        <v>10</v>
      </c>
      <c r="G124" s="45">
        <v>0.1</v>
      </c>
      <c r="H124" s="46">
        <v>45612</v>
      </c>
      <c r="I124" s="45">
        <v>410.9</v>
      </c>
    </row>
    <row r="125" spans="1:9" ht="17" customHeight="1" x14ac:dyDescent="0.35">
      <c r="A125" s="45" t="s">
        <v>9</v>
      </c>
      <c r="B125" s="45" t="s">
        <v>17</v>
      </c>
      <c r="C125" s="45" t="s">
        <v>20</v>
      </c>
      <c r="D125" s="45" t="s">
        <v>21</v>
      </c>
      <c r="E125" s="45">
        <v>718.04</v>
      </c>
      <c r="F125" s="45">
        <v>14</v>
      </c>
      <c r="G125" s="45">
        <v>0</v>
      </c>
      <c r="H125" s="46">
        <v>45613</v>
      </c>
      <c r="I125" s="45">
        <v>179.51</v>
      </c>
    </row>
    <row r="126" spans="1:9" ht="17" customHeight="1" x14ac:dyDescent="0.35">
      <c r="A126" s="45" t="s">
        <v>72</v>
      </c>
      <c r="B126" s="45" t="s">
        <v>17</v>
      </c>
      <c r="C126" s="45" t="s">
        <v>34</v>
      </c>
      <c r="D126" s="45" t="s">
        <v>15</v>
      </c>
      <c r="E126" s="45">
        <v>1277.8499999999999</v>
      </c>
      <c r="F126" s="45">
        <v>18</v>
      </c>
      <c r="G126" s="45">
        <v>0.2</v>
      </c>
      <c r="H126" s="46">
        <v>45613</v>
      </c>
      <c r="I126" s="45">
        <v>511.14</v>
      </c>
    </row>
    <row r="127" spans="1:9" ht="17" customHeight="1" x14ac:dyDescent="0.35">
      <c r="A127" s="45" t="s">
        <v>70</v>
      </c>
      <c r="B127" s="45" t="s">
        <v>23</v>
      </c>
      <c r="C127" s="45" t="s">
        <v>24</v>
      </c>
      <c r="D127" s="45" t="s">
        <v>21</v>
      </c>
      <c r="E127" s="45">
        <v>706.73</v>
      </c>
      <c r="F127" s="45">
        <v>1</v>
      </c>
      <c r="G127" s="45">
        <v>0.15</v>
      </c>
      <c r="H127" s="46">
        <v>45613</v>
      </c>
      <c r="I127" s="45">
        <v>150.18</v>
      </c>
    </row>
    <row r="128" spans="1:9" ht="17" customHeight="1" x14ac:dyDescent="0.35">
      <c r="A128" s="45" t="s">
        <v>65</v>
      </c>
      <c r="B128" s="45" t="s">
        <v>50</v>
      </c>
      <c r="C128" s="45" t="s">
        <v>18</v>
      </c>
      <c r="D128" s="45" t="s">
        <v>21</v>
      </c>
      <c r="E128" s="45">
        <v>1410.59</v>
      </c>
      <c r="F128" s="45">
        <v>15</v>
      </c>
      <c r="G128" s="45">
        <v>0</v>
      </c>
      <c r="H128" s="46">
        <v>45615</v>
      </c>
      <c r="I128" s="45">
        <v>352.65</v>
      </c>
    </row>
    <row r="129" spans="1:9" ht="17" customHeight="1" x14ac:dyDescent="0.35">
      <c r="A129" s="45" t="s">
        <v>32</v>
      </c>
      <c r="B129" s="45" t="s">
        <v>61</v>
      </c>
      <c r="C129" s="45" t="s">
        <v>20</v>
      </c>
      <c r="D129" s="45" t="s">
        <v>27</v>
      </c>
      <c r="E129" s="45">
        <v>1350.33</v>
      </c>
      <c r="F129" s="45">
        <v>10</v>
      </c>
      <c r="G129" s="45">
        <v>0</v>
      </c>
      <c r="H129" s="46">
        <v>45615</v>
      </c>
      <c r="I129" s="45">
        <v>472.62</v>
      </c>
    </row>
    <row r="130" spans="1:9" ht="17" customHeight="1" x14ac:dyDescent="0.35">
      <c r="A130" s="45" t="s">
        <v>41</v>
      </c>
      <c r="B130" s="45" t="s">
        <v>45</v>
      </c>
      <c r="C130" s="45" t="s">
        <v>18</v>
      </c>
      <c r="D130" s="45" t="s">
        <v>21</v>
      </c>
      <c r="E130" s="45">
        <v>919.18</v>
      </c>
      <c r="F130" s="45">
        <v>4</v>
      </c>
      <c r="G130" s="45">
        <v>0.15</v>
      </c>
      <c r="H130" s="46">
        <v>45615</v>
      </c>
      <c r="I130" s="45">
        <v>195.33</v>
      </c>
    </row>
    <row r="131" spans="1:9" ht="17" customHeight="1" x14ac:dyDescent="0.35">
      <c r="A131" s="45" t="s">
        <v>74</v>
      </c>
      <c r="B131" s="45" t="s">
        <v>23</v>
      </c>
      <c r="C131" s="45" t="s">
        <v>11</v>
      </c>
      <c r="D131" s="45" t="s">
        <v>21</v>
      </c>
      <c r="E131" s="45">
        <v>258.51</v>
      </c>
      <c r="F131" s="45">
        <v>19</v>
      </c>
      <c r="G131" s="45">
        <v>0</v>
      </c>
      <c r="H131" s="46">
        <v>45616</v>
      </c>
      <c r="I131" s="45">
        <v>64.63</v>
      </c>
    </row>
    <row r="132" spans="1:9" ht="17" customHeight="1" x14ac:dyDescent="0.35">
      <c r="A132" s="45" t="s">
        <v>63</v>
      </c>
      <c r="B132" s="45" t="s">
        <v>61</v>
      </c>
      <c r="C132" s="45" t="s">
        <v>18</v>
      </c>
      <c r="D132" s="45" t="s">
        <v>12</v>
      </c>
      <c r="E132" s="45">
        <v>1213.48</v>
      </c>
      <c r="F132" s="45">
        <v>5</v>
      </c>
      <c r="G132" s="45">
        <v>0.05</v>
      </c>
      <c r="H132" s="46">
        <v>45616</v>
      </c>
      <c r="I132" s="45">
        <v>461.12</v>
      </c>
    </row>
    <row r="133" spans="1:9" ht="17" customHeight="1" x14ac:dyDescent="0.35">
      <c r="A133" s="45" t="s">
        <v>57</v>
      </c>
      <c r="B133" s="45" t="s">
        <v>38</v>
      </c>
      <c r="C133" s="45" t="s">
        <v>34</v>
      </c>
      <c r="D133" s="45" t="s">
        <v>12</v>
      </c>
      <c r="E133" s="45">
        <v>1150.28</v>
      </c>
      <c r="F133" s="45">
        <v>8</v>
      </c>
      <c r="G133" s="45">
        <v>0.05</v>
      </c>
      <c r="H133" s="46">
        <v>45622</v>
      </c>
      <c r="I133" s="45">
        <v>437.11</v>
      </c>
    </row>
    <row r="134" spans="1:9" ht="17" customHeight="1" x14ac:dyDescent="0.35">
      <c r="A134" s="45" t="s">
        <v>37</v>
      </c>
      <c r="B134" s="45" t="s">
        <v>71</v>
      </c>
      <c r="C134" s="45" t="s">
        <v>20</v>
      </c>
      <c r="D134" s="45" t="s">
        <v>27</v>
      </c>
      <c r="E134" s="45">
        <v>853.86</v>
      </c>
      <c r="F134" s="45">
        <v>8</v>
      </c>
      <c r="G134" s="45">
        <v>0.1</v>
      </c>
      <c r="H134" s="46">
        <v>45622</v>
      </c>
      <c r="I134" s="45">
        <v>268.97000000000003</v>
      </c>
    </row>
    <row r="135" spans="1:9" ht="17" customHeight="1" x14ac:dyDescent="0.35">
      <c r="A135" s="45" t="s">
        <v>75</v>
      </c>
      <c r="B135" s="45" t="s">
        <v>45</v>
      </c>
      <c r="C135" s="45" t="s">
        <v>20</v>
      </c>
      <c r="D135" s="45" t="s">
        <v>21</v>
      </c>
      <c r="E135" s="45">
        <v>1061.04</v>
      </c>
      <c r="F135" s="45">
        <v>1</v>
      </c>
      <c r="G135" s="45">
        <v>0</v>
      </c>
      <c r="H135" s="46">
        <v>45624</v>
      </c>
      <c r="I135" s="45">
        <v>265.26</v>
      </c>
    </row>
    <row r="136" spans="1:9" ht="17" customHeight="1" x14ac:dyDescent="0.35">
      <c r="A136" s="45" t="s">
        <v>28</v>
      </c>
      <c r="B136" s="45" t="s">
        <v>43</v>
      </c>
      <c r="C136" s="45" t="s">
        <v>11</v>
      </c>
      <c r="D136" s="45" t="s">
        <v>21</v>
      </c>
      <c r="E136" s="45">
        <v>894.55</v>
      </c>
      <c r="F136" s="45">
        <v>19</v>
      </c>
      <c r="G136" s="45">
        <v>0.2</v>
      </c>
      <c r="H136" s="46">
        <v>45625</v>
      </c>
      <c r="I136" s="45">
        <v>178.91</v>
      </c>
    </row>
    <row r="137" spans="1:9" ht="17" customHeight="1" x14ac:dyDescent="0.35">
      <c r="A137" s="45" t="s">
        <v>25</v>
      </c>
      <c r="B137" s="45" t="s">
        <v>38</v>
      </c>
      <c r="C137" s="45" t="s">
        <v>24</v>
      </c>
      <c r="D137" s="45" t="s">
        <v>39</v>
      </c>
      <c r="E137" s="45">
        <v>833.91</v>
      </c>
      <c r="F137" s="45">
        <v>3</v>
      </c>
      <c r="G137" s="45">
        <v>0.05</v>
      </c>
      <c r="H137" s="46">
        <v>45626</v>
      </c>
      <c r="I137" s="45">
        <v>356.5</v>
      </c>
    </row>
    <row r="138" spans="1:9" ht="17" customHeight="1" x14ac:dyDescent="0.35">
      <c r="A138" s="45" t="s">
        <v>58</v>
      </c>
      <c r="B138" s="45" t="s">
        <v>71</v>
      </c>
      <c r="C138" s="45" t="s">
        <v>11</v>
      </c>
      <c r="D138" s="45" t="s">
        <v>27</v>
      </c>
      <c r="E138" s="45">
        <v>820.19</v>
      </c>
      <c r="F138" s="45">
        <v>4</v>
      </c>
      <c r="G138" s="45">
        <v>0.2</v>
      </c>
      <c r="H138" s="46">
        <v>45630</v>
      </c>
      <c r="I138" s="45">
        <v>229.65</v>
      </c>
    </row>
    <row r="139" spans="1:9" ht="17" customHeight="1" x14ac:dyDescent="0.35">
      <c r="A139" s="45" t="s">
        <v>58</v>
      </c>
      <c r="B139" s="45" t="s">
        <v>38</v>
      </c>
      <c r="C139" s="45" t="s">
        <v>34</v>
      </c>
      <c r="D139" s="45" t="s">
        <v>21</v>
      </c>
      <c r="E139" s="45">
        <v>511.74</v>
      </c>
      <c r="F139" s="45">
        <v>8</v>
      </c>
      <c r="G139" s="45">
        <v>0.05</v>
      </c>
      <c r="H139" s="46">
        <v>45631</v>
      </c>
      <c r="I139" s="45">
        <v>121.54</v>
      </c>
    </row>
    <row r="140" spans="1:9" ht="17" customHeight="1" x14ac:dyDescent="0.35">
      <c r="A140" s="45" t="s">
        <v>65</v>
      </c>
      <c r="B140" s="45" t="s">
        <v>61</v>
      </c>
      <c r="C140" s="45" t="s">
        <v>20</v>
      </c>
      <c r="D140" s="45" t="s">
        <v>27</v>
      </c>
      <c r="E140" s="45">
        <v>806.03</v>
      </c>
      <c r="F140" s="45">
        <v>19</v>
      </c>
      <c r="G140" s="45">
        <v>0.05</v>
      </c>
      <c r="H140" s="46">
        <v>45638</v>
      </c>
      <c r="I140" s="45">
        <v>268</v>
      </c>
    </row>
    <row r="141" spans="1:9" ht="17" customHeight="1" x14ac:dyDescent="0.35">
      <c r="A141" s="45" t="s">
        <v>28</v>
      </c>
      <c r="B141" s="45" t="s">
        <v>26</v>
      </c>
      <c r="C141" s="45" t="s">
        <v>34</v>
      </c>
      <c r="D141" s="45" t="s">
        <v>27</v>
      </c>
      <c r="E141" s="45">
        <v>1432.47</v>
      </c>
      <c r="F141" s="45">
        <v>16</v>
      </c>
      <c r="G141" s="45">
        <v>0.15</v>
      </c>
      <c r="H141" s="46">
        <v>45640</v>
      </c>
      <c r="I141" s="45">
        <v>426.16</v>
      </c>
    </row>
    <row r="142" spans="1:9" ht="17" customHeight="1" x14ac:dyDescent="0.35">
      <c r="A142" s="45" t="s">
        <v>74</v>
      </c>
      <c r="B142" s="45" t="s">
        <v>29</v>
      </c>
      <c r="C142" s="45" t="s">
        <v>34</v>
      </c>
      <c r="D142" s="45" t="s">
        <v>21</v>
      </c>
      <c r="E142" s="45">
        <v>1488.58</v>
      </c>
      <c r="F142" s="45">
        <v>10</v>
      </c>
      <c r="G142" s="45">
        <v>0.15</v>
      </c>
      <c r="H142" s="46">
        <v>45640</v>
      </c>
      <c r="I142" s="45">
        <v>316.32</v>
      </c>
    </row>
    <row r="143" spans="1:9" ht="17" customHeight="1" x14ac:dyDescent="0.35">
      <c r="A143" s="45" t="s">
        <v>30</v>
      </c>
      <c r="B143" s="45" t="s">
        <v>66</v>
      </c>
      <c r="C143" s="45" t="s">
        <v>18</v>
      </c>
      <c r="D143" s="45" t="s">
        <v>12</v>
      </c>
      <c r="E143" s="45">
        <v>1231.26</v>
      </c>
      <c r="F143" s="45">
        <v>9</v>
      </c>
      <c r="G143" s="45">
        <v>0</v>
      </c>
      <c r="H143" s="46">
        <v>45646</v>
      </c>
      <c r="I143" s="45">
        <v>492.5</v>
      </c>
    </row>
    <row r="144" spans="1:9" ht="17" customHeight="1" x14ac:dyDescent="0.35">
      <c r="A144" s="45" t="s">
        <v>30</v>
      </c>
      <c r="B144" s="45" t="s">
        <v>43</v>
      </c>
      <c r="C144" s="45" t="s">
        <v>11</v>
      </c>
      <c r="D144" s="45" t="s">
        <v>21</v>
      </c>
      <c r="E144" s="45">
        <v>1161.67</v>
      </c>
      <c r="F144" s="45">
        <v>19</v>
      </c>
      <c r="G144" s="45">
        <v>0.2</v>
      </c>
      <c r="H144" s="46">
        <v>45647</v>
      </c>
      <c r="I144" s="45">
        <v>232.33</v>
      </c>
    </row>
    <row r="145" spans="1:9" ht="17" customHeight="1" x14ac:dyDescent="0.35">
      <c r="A145" s="45" t="s">
        <v>49</v>
      </c>
      <c r="B145" s="45" t="s">
        <v>45</v>
      </c>
      <c r="C145" s="45" t="s">
        <v>34</v>
      </c>
      <c r="D145" s="45" t="s">
        <v>39</v>
      </c>
      <c r="E145" s="45">
        <v>388.23</v>
      </c>
      <c r="F145" s="45">
        <v>16</v>
      </c>
      <c r="G145" s="45">
        <v>0.05</v>
      </c>
      <c r="H145" s="46">
        <v>45650</v>
      </c>
      <c r="I145" s="45">
        <v>165.97</v>
      </c>
    </row>
    <row r="146" spans="1:9" ht="17" customHeight="1" x14ac:dyDescent="0.35">
      <c r="A146" s="45" t="s">
        <v>72</v>
      </c>
      <c r="B146" s="45" t="s">
        <v>31</v>
      </c>
      <c r="C146" s="45" t="s">
        <v>24</v>
      </c>
      <c r="D146" s="45" t="s">
        <v>15</v>
      </c>
      <c r="E146" s="45">
        <v>1589.42</v>
      </c>
      <c r="F146" s="45">
        <v>6</v>
      </c>
      <c r="G146" s="45">
        <v>0.15</v>
      </c>
      <c r="H146" s="46">
        <v>45651</v>
      </c>
      <c r="I146" s="45">
        <v>675.5</v>
      </c>
    </row>
    <row r="147" spans="1:9" ht="17" customHeight="1" x14ac:dyDescent="0.35">
      <c r="A147" s="45" t="s">
        <v>28</v>
      </c>
      <c r="B147" s="45" t="s">
        <v>71</v>
      </c>
      <c r="C147" s="45" t="s">
        <v>24</v>
      </c>
      <c r="D147" s="45" t="s">
        <v>15</v>
      </c>
      <c r="E147" s="45">
        <v>336.66</v>
      </c>
      <c r="F147" s="45">
        <v>13</v>
      </c>
      <c r="G147" s="45">
        <v>0.2</v>
      </c>
      <c r="H147" s="46">
        <v>45651</v>
      </c>
      <c r="I147" s="45">
        <v>134.66</v>
      </c>
    </row>
    <row r="148" spans="1:9" ht="17" customHeight="1" x14ac:dyDescent="0.35">
      <c r="A148" s="45" t="s">
        <v>49</v>
      </c>
      <c r="B148" s="45" t="s">
        <v>23</v>
      </c>
      <c r="C148" s="45" t="s">
        <v>11</v>
      </c>
      <c r="D148" s="45" t="s">
        <v>12</v>
      </c>
      <c r="E148" s="45">
        <v>1353.79</v>
      </c>
      <c r="F148" s="45">
        <v>14</v>
      </c>
      <c r="G148" s="45">
        <v>0.1</v>
      </c>
      <c r="H148" s="46">
        <v>45656</v>
      </c>
      <c r="I148" s="45">
        <v>487.36</v>
      </c>
    </row>
    <row r="149" spans="1:9" ht="17" customHeight="1" x14ac:dyDescent="0.35">
      <c r="A149" s="45" t="s">
        <v>63</v>
      </c>
      <c r="B149" s="45" t="s">
        <v>69</v>
      </c>
      <c r="C149" s="45" t="s">
        <v>34</v>
      </c>
      <c r="D149" s="45" t="s">
        <v>15</v>
      </c>
      <c r="E149" s="45">
        <v>662.61</v>
      </c>
      <c r="F149" s="45">
        <v>11</v>
      </c>
      <c r="G149" s="45">
        <v>0.05</v>
      </c>
      <c r="H149" s="46">
        <v>45658</v>
      </c>
      <c r="I149" s="45">
        <v>314.74</v>
      </c>
    </row>
    <row r="150" spans="1:9" ht="17" customHeight="1" x14ac:dyDescent="0.35">
      <c r="A150" s="45" t="s">
        <v>52</v>
      </c>
      <c r="B150" s="45" t="s">
        <v>48</v>
      </c>
      <c r="C150" s="45" t="s">
        <v>24</v>
      </c>
      <c r="D150" s="45" t="s">
        <v>39</v>
      </c>
      <c r="E150" s="45">
        <v>309.42</v>
      </c>
      <c r="F150" s="45">
        <v>1</v>
      </c>
      <c r="G150" s="45">
        <v>0.2</v>
      </c>
      <c r="H150" s="46">
        <v>45658</v>
      </c>
      <c r="I150" s="45">
        <v>111.39</v>
      </c>
    </row>
    <row r="151" spans="1:9" ht="17" customHeight="1" x14ac:dyDescent="0.35">
      <c r="A151" s="45" t="s">
        <v>63</v>
      </c>
      <c r="B151" s="45" t="s">
        <v>29</v>
      </c>
      <c r="C151" s="45" t="s">
        <v>24</v>
      </c>
      <c r="D151" s="45" t="s">
        <v>12</v>
      </c>
      <c r="E151" s="45">
        <v>884.63</v>
      </c>
      <c r="F151" s="45">
        <v>18</v>
      </c>
      <c r="G151" s="45">
        <v>0.1</v>
      </c>
      <c r="H151" s="46">
        <v>45659</v>
      </c>
      <c r="I151" s="45">
        <v>318.47000000000003</v>
      </c>
    </row>
    <row r="152" spans="1:9" ht="17" customHeight="1" x14ac:dyDescent="0.35">
      <c r="A152" s="45" t="s">
        <v>52</v>
      </c>
      <c r="B152" s="45" t="s">
        <v>23</v>
      </c>
      <c r="C152" s="45" t="s">
        <v>34</v>
      </c>
      <c r="D152" s="45" t="s">
        <v>39</v>
      </c>
      <c r="E152" s="45">
        <v>745.05</v>
      </c>
      <c r="F152" s="45">
        <v>10</v>
      </c>
      <c r="G152" s="45">
        <v>0.1</v>
      </c>
      <c r="H152" s="46">
        <v>45660</v>
      </c>
      <c r="I152" s="45">
        <v>301.75</v>
      </c>
    </row>
    <row r="153" spans="1:9" ht="17" customHeight="1" x14ac:dyDescent="0.35">
      <c r="A153" s="45" t="s">
        <v>60</v>
      </c>
      <c r="B153" s="45" t="s">
        <v>17</v>
      </c>
      <c r="C153" s="45" t="s">
        <v>20</v>
      </c>
      <c r="D153" s="45" t="s">
        <v>15</v>
      </c>
      <c r="E153" s="45">
        <v>870.23</v>
      </c>
      <c r="F153" s="45">
        <v>5</v>
      </c>
      <c r="G153" s="45">
        <v>0.05</v>
      </c>
      <c r="H153" s="46">
        <v>45660</v>
      </c>
      <c r="I153" s="45">
        <v>413.36</v>
      </c>
    </row>
    <row r="154" spans="1:9" ht="17" customHeight="1" x14ac:dyDescent="0.35">
      <c r="A154" s="45" t="s">
        <v>35</v>
      </c>
      <c r="B154" s="45" t="s">
        <v>29</v>
      </c>
      <c r="C154" s="45" t="s">
        <v>11</v>
      </c>
      <c r="D154" s="45" t="s">
        <v>27</v>
      </c>
      <c r="E154" s="45">
        <v>862.19</v>
      </c>
      <c r="F154" s="45">
        <v>18</v>
      </c>
      <c r="G154" s="45">
        <v>0.05</v>
      </c>
      <c r="H154" s="46">
        <v>45663</v>
      </c>
      <c r="I154" s="45">
        <v>286.68</v>
      </c>
    </row>
    <row r="155" spans="1:9" ht="17" customHeight="1" x14ac:dyDescent="0.35">
      <c r="A155" s="45" t="s">
        <v>73</v>
      </c>
      <c r="B155" s="45" t="s">
        <v>59</v>
      </c>
      <c r="C155" s="45" t="s">
        <v>24</v>
      </c>
      <c r="D155" s="45" t="s">
        <v>15</v>
      </c>
      <c r="E155" s="45">
        <v>1171.18</v>
      </c>
      <c r="F155" s="45">
        <v>19</v>
      </c>
      <c r="G155" s="45">
        <v>0.05</v>
      </c>
      <c r="H155" s="46">
        <v>45667</v>
      </c>
      <c r="I155" s="45">
        <v>556.30999999999995</v>
      </c>
    </row>
    <row r="156" spans="1:9" ht="17" customHeight="1" x14ac:dyDescent="0.35">
      <c r="A156" s="45" t="s">
        <v>58</v>
      </c>
      <c r="B156" s="45" t="s">
        <v>14</v>
      </c>
      <c r="C156" s="45" t="s">
        <v>20</v>
      </c>
      <c r="D156" s="45" t="s">
        <v>27</v>
      </c>
      <c r="E156" s="45">
        <v>1054.56</v>
      </c>
      <c r="F156" s="45">
        <v>11</v>
      </c>
      <c r="G156" s="45">
        <v>0.1</v>
      </c>
      <c r="H156" s="46">
        <v>45669</v>
      </c>
      <c r="I156" s="45">
        <v>332.19</v>
      </c>
    </row>
    <row r="157" spans="1:9" ht="17" customHeight="1" x14ac:dyDescent="0.35">
      <c r="A157" s="45" t="s">
        <v>58</v>
      </c>
      <c r="B157" s="45" t="s">
        <v>23</v>
      </c>
      <c r="C157" s="45" t="s">
        <v>24</v>
      </c>
      <c r="D157" s="45" t="s">
        <v>21</v>
      </c>
      <c r="E157" s="45">
        <v>1681.21</v>
      </c>
      <c r="F157" s="45">
        <v>5</v>
      </c>
      <c r="G157" s="45">
        <v>0.2</v>
      </c>
      <c r="H157" s="46">
        <v>45670</v>
      </c>
      <c r="I157" s="45">
        <v>336.24</v>
      </c>
    </row>
    <row r="158" spans="1:9" ht="17" customHeight="1" x14ac:dyDescent="0.35">
      <c r="A158" s="45" t="s">
        <v>58</v>
      </c>
      <c r="B158" s="45" t="s">
        <v>36</v>
      </c>
      <c r="C158" s="45" t="s">
        <v>11</v>
      </c>
      <c r="D158" s="45" t="s">
        <v>15</v>
      </c>
      <c r="E158" s="45">
        <v>379.77</v>
      </c>
      <c r="F158" s="45">
        <v>9</v>
      </c>
      <c r="G158" s="45">
        <v>0.05</v>
      </c>
      <c r="H158" s="46">
        <v>45673</v>
      </c>
      <c r="I158" s="45">
        <v>180.39</v>
      </c>
    </row>
    <row r="159" spans="1:9" ht="17" customHeight="1" x14ac:dyDescent="0.35">
      <c r="A159" s="45" t="s">
        <v>44</v>
      </c>
      <c r="B159" s="45" t="s">
        <v>45</v>
      </c>
      <c r="C159" s="45" t="s">
        <v>34</v>
      </c>
      <c r="D159" s="45" t="s">
        <v>15</v>
      </c>
      <c r="E159" s="45">
        <v>1076.33</v>
      </c>
      <c r="F159" s="45">
        <v>2</v>
      </c>
      <c r="G159" s="45">
        <v>0.1</v>
      </c>
      <c r="H159" s="46">
        <v>45674</v>
      </c>
      <c r="I159" s="45">
        <v>484.35</v>
      </c>
    </row>
    <row r="160" spans="1:9" ht="17" customHeight="1" x14ac:dyDescent="0.35">
      <c r="A160" s="45" t="s">
        <v>44</v>
      </c>
      <c r="B160" s="45" t="s">
        <v>31</v>
      </c>
      <c r="C160" s="45" t="s">
        <v>34</v>
      </c>
      <c r="D160" s="45" t="s">
        <v>39</v>
      </c>
      <c r="E160" s="45">
        <v>1250.71</v>
      </c>
      <c r="F160" s="45">
        <v>7</v>
      </c>
      <c r="G160" s="45">
        <v>0</v>
      </c>
      <c r="H160" s="46">
        <v>45674</v>
      </c>
      <c r="I160" s="45">
        <v>562.82000000000005</v>
      </c>
    </row>
    <row r="161" spans="1:9" ht="17" customHeight="1" x14ac:dyDescent="0.35">
      <c r="A161" s="45" t="s">
        <v>40</v>
      </c>
      <c r="B161" s="45" t="s">
        <v>17</v>
      </c>
      <c r="C161" s="45" t="s">
        <v>20</v>
      </c>
      <c r="D161" s="45" t="s">
        <v>15</v>
      </c>
      <c r="E161" s="45">
        <v>1118.3399999999999</v>
      </c>
      <c r="F161" s="45">
        <v>6</v>
      </c>
      <c r="G161" s="45">
        <v>0.2</v>
      </c>
      <c r="H161" s="46">
        <v>45674</v>
      </c>
      <c r="I161" s="45">
        <v>447.34</v>
      </c>
    </row>
    <row r="162" spans="1:9" ht="17" customHeight="1" x14ac:dyDescent="0.35">
      <c r="A162" s="45" t="s">
        <v>70</v>
      </c>
      <c r="B162" s="45" t="s">
        <v>53</v>
      </c>
      <c r="C162" s="45" t="s">
        <v>24</v>
      </c>
      <c r="D162" s="45" t="s">
        <v>15</v>
      </c>
      <c r="E162" s="45">
        <v>1622.62</v>
      </c>
      <c r="F162" s="45">
        <v>12</v>
      </c>
      <c r="G162" s="45">
        <v>0.2</v>
      </c>
      <c r="H162" s="46">
        <v>45677</v>
      </c>
      <c r="I162" s="45">
        <v>649.04999999999995</v>
      </c>
    </row>
    <row r="163" spans="1:9" ht="17" customHeight="1" x14ac:dyDescent="0.35">
      <c r="A163" s="45" t="s">
        <v>75</v>
      </c>
      <c r="B163" s="45" t="s">
        <v>48</v>
      </c>
      <c r="C163" s="45" t="s">
        <v>24</v>
      </c>
      <c r="D163" s="45" t="s">
        <v>12</v>
      </c>
      <c r="E163" s="45">
        <v>640.64</v>
      </c>
      <c r="F163" s="45">
        <v>11</v>
      </c>
      <c r="G163" s="45">
        <v>0.2</v>
      </c>
      <c r="H163" s="46">
        <v>45678</v>
      </c>
      <c r="I163" s="45">
        <v>205</v>
      </c>
    </row>
    <row r="164" spans="1:9" ht="17" customHeight="1" x14ac:dyDescent="0.35">
      <c r="A164" s="45" t="s">
        <v>22</v>
      </c>
      <c r="B164" s="45" t="s">
        <v>43</v>
      </c>
      <c r="C164" s="45" t="s">
        <v>11</v>
      </c>
      <c r="D164" s="45" t="s">
        <v>15</v>
      </c>
      <c r="E164" s="45">
        <v>585.16</v>
      </c>
      <c r="F164" s="45">
        <v>17</v>
      </c>
      <c r="G164" s="45">
        <v>0.1</v>
      </c>
      <c r="H164" s="46">
        <v>45684</v>
      </c>
      <c r="I164" s="45">
        <v>263.32</v>
      </c>
    </row>
    <row r="165" spans="1:9" ht="17" customHeight="1" x14ac:dyDescent="0.35">
      <c r="A165" s="45" t="s">
        <v>22</v>
      </c>
      <c r="B165" s="45" t="s">
        <v>31</v>
      </c>
      <c r="C165" s="45" t="s">
        <v>18</v>
      </c>
      <c r="D165" s="45" t="s">
        <v>15</v>
      </c>
      <c r="E165" s="45">
        <v>1109.98</v>
      </c>
      <c r="F165" s="45">
        <v>5</v>
      </c>
      <c r="G165" s="45">
        <v>0.2</v>
      </c>
      <c r="H165" s="46">
        <v>45690</v>
      </c>
      <c r="I165" s="45">
        <v>443.99</v>
      </c>
    </row>
    <row r="166" spans="1:9" ht="17" customHeight="1" x14ac:dyDescent="0.35">
      <c r="A166" s="45" t="s">
        <v>58</v>
      </c>
      <c r="B166" s="45" t="s">
        <v>45</v>
      </c>
      <c r="C166" s="45" t="s">
        <v>18</v>
      </c>
      <c r="D166" s="45" t="s">
        <v>12</v>
      </c>
      <c r="E166" s="45">
        <v>1098.08</v>
      </c>
      <c r="F166" s="45">
        <v>9</v>
      </c>
      <c r="G166" s="45">
        <v>0.1</v>
      </c>
      <c r="H166" s="46">
        <v>45692</v>
      </c>
      <c r="I166" s="45">
        <v>395.31</v>
      </c>
    </row>
    <row r="167" spans="1:9" ht="17" customHeight="1" x14ac:dyDescent="0.35">
      <c r="A167" s="45" t="s">
        <v>65</v>
      </c>
      <c r="B167" s="45" t="s">
        <v>48</v>
      </c>
      <c r="C167" s="45" t="s">
        <v>11</v>
      </c>
      <c r="D167" s="45" t="s">
        <v>39</v>
      </c>
      <c r="E167" s="45">
        <v>827.25</v>
      </c>
      <c r="F167" s="45">
        <v>7</v>
      </c>
      <c r="G167" s="45">
        <v>0.1</v>
      </c>
      <c r="H167" s="46">
        <v>45693</v>
      </c>
      <c r="I167" s="45">
        <v>335.04</v>
      </c>
    </row>
    <row r="168" spans="1:9" ht="17" customHeight="1" x14ac:dyDescent="0.35">
      <c r="A168" s="45" t="s">
        <v>70</v>
      </c>
      <c r="B168" s="45" t="s">
        <v>29</v>
      </c>
      <c r="C168" s="45" t="s">
        <v>34</v>
      </c>
      <c r="D168" s="45" t="s">
        <v>15</v>
      </c>
      <c r="E168" s="45">
        <v>741.88</v>
      </c>
      <c r="F168" s="45">
        <v>16</v>
      </c>
      <c r="G168" s="45">
        <v>0.1</v>
      </c>
      <c r="H168" s="46">
        <v>45695</v>
      </c>
      <c r="I168" s="45">
        <v>333.85</v>
      </c>
    </row>
    <row r="169" spans="1:9" ht="17" customHeight="1" x14ac:dyDescent="0.35">
      <c r="A169" s="45" t="s">
        <v>72</v>
      </c>
      <c r="B169" s="45" t="s">
        <v>10</v>
      </c>
      <c r="C169" s="45" t="s">
        <v>18</v>
      </c>
      <c r="D169" s="45" t="s">
        <v>39</v>
      </c>
      <c r="E169" s="45">
        <v>1311.26</v>
      </c>
      <c r="F169" s="45">
        <v>6</v>
      </c>
      <c r="G169" s="45">
        <v>0.1</v>
      </c>
      <c r="H169" s="46">
        <v>45698</v>
      </c>
      <c r="I169" s="45">
        <v>531.05999999999995</v>
      </c>
    </row>
    <row r="170" spans="1:9" ht="17" customHeight="1" x14ac:dyDescent="0.35">
      <c r="A170" s="45" t="s">
        <v>72</v>
      </c>
      <c r="B170" s="45" t="s">
        <v>31</v>
      </c>
      <c r="C170" s="45" t="s">
        <v>20</v>
      </c>
      <c r="D170" s="45" t="s">
        <v>39</v>
      </c>
      <c r="E170" s="45">
        <v>573.32000000000005</v>
      </c>
      <c r="F170" s="45">
        <v>19</v>
      </c>
      <c r="G170" s="45">
        <v>0.1</v>
      </c>
      <c r="H170" s="46">
        <v>45703</v>
      </c>
      <c r="I170" s="45">
        <v>232.19</v>
      </c>
    </row>
    <row r="171" spans="1:9" ht="17" customHeight="1" x14ac:dyDescent="0.35">
      <c r="A171" s="45" t="s">
        <v>52</v>
      </c>
      <c r="B171" s="45" t="s">
        <v>23</v>
      </c>
      <c r="C171" s="45" t="s">
        <v>11</v>
      </c>
      <c r="D171" s="45" t="s">
        <v>21</v>
      </c>
      <c r="E171" s="45">
        <v>1115.22</v>
      </c>
      <c r="F171" s="45">
        <v>14</v>
      </c>
      <c r="G171" s="45">
        <v>0.2</v>
      </c>
      <c r="H171" s="46">
        <v>45705</v>
      </c>
      <c r="I171" s="45">
        <v>223.04</v>
      </c>
    </row>
    <row r="172" spans="1:9" ht="17" customHeight="1" x14ac:dyDescent="0.35">
      <c r="A172" s="45" t="s">
        <v>13</v>
      </c>
      <c r="B172" s="45" t="s">
        <v>45</v>
      </c>
      <c r="C172" s="45" t="s">
        <v>24</v>
      </c>
      <c r="D172" s="45" t="s">
        <v>15</v>
      </c>
      <c r="E172" s="45">
        <v>845.84</v>
      </c>
      <c r="F172" s="45">
        <v>4</v>
      </c>
      <c r="G172" s="45">
        <v>0</v>
      </c>
      <c r="H172" s="46">
        <v>45707</v>
      </c>
      <c r="I172" s="45">
        <v>422.92</v>
      </c>
    </row>
    <row r="173" spans="1:9" ht="17" customHeight="1" x14ac:dyDescent="0.35">
      <c r="A173" s="45" t="s">
        <v>30</v>
      </c>
      <c r="B173" s="45" t="s">
        <v>55</v>
      </c>
      <c r="C173" s="45" t="s">
        <v>11</v>
      </c>
      <c r="D173" s="45" t="s">
        <v>21</v>
      </c>
      <c r="E173" s="45">
        <v>1029.8</v>
      </c>
      <c r="F173" s="45">
        <v>3</v>
      </c>
      <c r="G173" s="45">
        <v>0</v>
      </c>
      <c r="H173" s="46">
        <v>45708</v>
      </c>
      <c r="I173" s="45">
        <v>257.45</v>
      </c>
    </row>
    <row r="174" spans="1:9" ht="17" customHeight="1" x14ac:dyDescent="0.35">
      <c r="A174" s="45" t="s">
        <v>32</v>
      </c>
      <c r="B174" s="45" t="s">
        <v>31</v>
      </c>
      <c r="C174" s="45" t="s">
        <v>24</v>
      </c>
      <c r="D174" s="45" t="s">
        <v>12</v>
      </c>
      <c r="E174" s="45">
        <v>1189.83</v>
      </c>
      <c r="F174" s="45">
        <v>2</v>
      </c>
      <c r="G174" s="45">
        <v>0.2</v>
      </c>
      <c r="H174" s="46">
        <v>45709</v>
      </c>
      <c r="I174" s="45">
        <v>380.75</v>
      </c>
    </row>
    <row r="175" spans="1:9" ht="17" customHeight="1" x14ac:dyDescent="0.35">
      <c r="A175" s="45" t="s">
        <v>67</v>
      </c>
      <c r="B175" s="45" t="s">
        <v>43</v>
      </c>
      <c r="C175" s="45" t="s">
        <v>20</v>
      </c>
      <c r="D175" s="45" t="s">
        <v>12</v>
      </c>
      <c r="E175" s="45">
        <v>704.28</v>
      </c>
      <c r="F175" s="45">
        <v>15</v>
      </c>
      <c r="G175" s="45">
        <v>0.2</v>
      </c>
      <c r="H175" s="46">
        <v>45712</v>
      </c>
      <c r="I175" s="45">
        <v>225.37</v>
      </c>
    </row>
    <row r="176" spans="1:9" ht="17" customHeight="1" x14ac:dyDescent="0.35">
      <c r="A176" s="45" t="s">
        <v>65</v>
      </c>
      <c r="B176" s="45" t="s">
        <v>47</v>
      </c>
      <c r="C176" s="45" t="s">
        <v>34</v>
      </c>
      <c r="D176" s="45" t="s">
        <v>39</v>
      </c>
      <c r="E176" s="45">
        <v>1618.22</v>
      </c>
      <c r="F176" s="45">
        <v>12</v>
      </c>
      <c r="G176" s="45">
        <v>0.2</v>
      </c>
      <c r="H176" s="46">
        <v>45712</v>
      </c>
      <c r="I176" s="45">
        <v>582.55999999999995</v>
      </c>
    </row>
    <row r="177" spans="1:9" ht="17" customHeight="1" x14ac:dyDescent="0.35">
      <c r="A177" s="45" t="s">
        <v>73</v>
      </c>
      <c r="B177" s="45" t="s">
        <v>53</v>
      </c>
      <c r="C177" s="45" t="s">
        <v>34</v>
      </c>
      <c r="D177" s="45" t="s">
        <v>12</v>
      </c>
      <c r="E177" s="45">
        <v>1014.43</v>
      </c>
      <c r="F177" s="45">
        <v>2</v>
      </c>
      <c r="G177" s="45">
        <v>0.15</v>
      </c>
      <c r="H177" s="46">
        <v>45713</v>
      </c>
      <c r="I177" s="45">
        <v>344.91</v>
      </c>
    </row>
    <row r="178" spans="1:9" ht="17" customHeight="1" x14ac:dyDescent="0.35">
      <c r="A178" s="45" t="s">
        <v>75</v>
      </c>
      <c r="B178" s="45" t="s">
        <v>31</v>
      </c>
      <c r="C178" s="45" t="s">
        <v>34</v>
      </c>
      <c r="D178" s="45" t="s">
        <v>15</v>
      </c>
      <c r="E178" s="45">
        <v>826.97</v>
      </c>
      <c r="F178" s="45">
        <v>18</v>
      </c>
      <c r="G178" s="45">
        <v>0.2</v>
      </c>
      <c r="H178" s="46">
        <v>45715</v>
      </c>
      <c r="I178" s="45">
        <v>330.79</v>
      </c>
    </row>
    <row r="179" spans="1:9" ht="17" customHeight="1" x14ac:dyDescent="0.35">
      <c r="A179" s="45" t="s">
        <v>16</v>
      </c>
      <c r="B179" s="45" t="s">
        <v>31</v>
      </c>
      <c r="C179" s="45" t="s">
        <v>34</v>
      </c>
      <c r="D179" s="45" t="s">
        <v>15</v>
      </c>
      <c r="E179" s="45">
        <v>1022.23</v>
      </c>
      <c r="F179" s="45">
        <v>8</v>
      </c>
      <c r="G179" s="45">
        <v>0.1</v>
      </c>
      <c r="H179" s="46">
        <v>45717</v>
      </c>
      <c r="I179" s="45">
        <v>460</v>
      </c>
    </row>
    <row r="180" spans="1:9" ht="17" customHeight="1" x14ac:dyDescent="0.35">
      <c r="A180" s="45" t="s">
        <v>72</v>
      </c>
      <c r="B180" s="45" t="s">
        <v>29</v>
      </c>
      <c r="C180" s="45" t="s">
        <v>18</v>
      </c>
      <c r="D180" s="45" t="s">
        <v>12</v>
      </c>
      <c r="E180" s="45">
        <v>1099.69</v>
      </c>
      <c r="F180" s="45">
        <v>6</v>
      </c>
      <c r="G180" s="45">
        <v>0</v>
      </c>
      <c r="H180" s="46">
        <v>45718</v>
      </c>
      <c r="I180" s="45">
        <v>439.88</v>
      </c>
    </row>
    <row r="181" spans="1:9" ht="17" customHeight="1" x14ac:dyDescent="0.35">
      <c r="A181" s="45" t="s">
        <v>52</v>
      </c>
      <c r="B181" s="45" t="s">
        <v>64</v>
      </c>
      <c r="C181" s="45" t="s">
        <v>24</v>
      </c>
      <c r="D181" s="45" t="s">
        <v>12</v>
      </c>
      <c r="E181" s="45">
        <v>710.52</v>
      </c>
      <c r="F181" s="45">
        <v>8</v>
      </c>
      <c r="G181" s="45">
        <v>0.1</v>
      </c>
      <c r="H181" s="46">
        <v>45721</v>
      </c>
      <c r="I181" s="45">
        <v>255.79</v>
      </c>
    </row>
    <row r="182" spans="1:9" ht="17" customHeight="1" x14ac:dyDescent="0.35">
      <c r="A182" s="45" t="s">
        <v>52</v>
      </c>
      <c r="B182" s="45" t="s">
        <v>59</v>
      </c>
      <c r="C182" s="45" t="s">
        <v>24</v>
      </c>
      <c r="D182" s="45" t="s">
        <v>12</v>
      </c>
      <c r="E182" s="45">
        <v>499.18</v>
      </c>
      <c r="F182" s="45">
        <v>15</v>
      </c>
      <c r="G182" s="45">
        <v>0.2</v>
      </c>
      <c r="H182" s="46">
        <v>45724</v>
      </c>
      <c r="I182" s="45">
        <v>159.74</v>
      </c>
    </row>
    <row r="183" spans="1:9" ht="17" customHeight="1" x14ac:dyDescent="0.35">
      <c r="A183" s="45" t="s">
        <v>37</v>
      </c>
      <c r="B183" s="45" t="s">
        <v>38</v>
      </c>
      <c r="C183" s="45" t="s">
        <v>20</v>
      </c>
      <c r="D183" s="45" t="s">
        <v>12</v>
      </c>
      <c r="E183" s="45">
        <v>1064.19</v>
      </c>
      <c r="F183" s="45">
        <v>18</v>
      </c>
      <c r="G183" s="45">
        <v>0.05</v>
      </c>
      <c r="H183" s="46">
        <v>45725</v>
      </c>
      <c r="I183" s="45">
        <v>404.39</v>
      </c>
    </row>
    <row r="184" spans="1:9" ht="17" customHeight="1" x14ac:dyDescent="0.35">
      <c r="A184" s="45" t="s">
        <v>67</v>
      </c>
      <c r="B184" s="45" t="s">
        <v>38</v>
      </c>
      <c r="C184" s="45" t="s">
        <v>18</v>
      </c>
      <c r="D184" s="45" t="s">
        <v>39</v>
      </c>
      <c r="E184" s="45">
        <v>438.76</v>
      </c>
      <c r="F184" s="45">
        <v>18</v>
      </c>
      <c r="G184" s="45">
        <v>0.05</v>
      </c>
      <c r="H184" s="46">
        <v>45726</v>
      </c>
      <c r="I184" s="45">
        <v>187.57</v>
      </c>
    </row>
    <row r="185" spans="1:9" ht="17" customHeight="1" x14ac:dyDescent="0.35">
      <c r="A185" s="45" t="s">
        <v>41</v>
      </c>
      <c r="B185" s="45" t="s">
        <v>55</v>
      </c>
      <c r="C185" s="45" t="s">
        <v>11</v>
      </c>
      <c r="D185" s="45" t="s">
        <v>15</v>
      </c>
      <c r="E185" s="45">
        <v>864.98</v>
      </c>
      <c r="F185" s="45">
        <v>2</v>
      </c>
      <c r="G185" s="45">
        <v>0.05</v>
      </c>
      <c r="H185" s="46">
        <v>45727</v>
      </c>
      <c r="I185" s="45">
        <v>410.87</v>
      </c>
    </row>
    <row r="186" spans="1:9" ht="17" customHeight="1" x14ac:dyDescent="0.35">
      <c r="A186" s="45" t="s">
        <v>57</v>
      </c>
      <c r="B186" s="45" t="s">
        <v>55</v>
      </c>
      <c r="C186" s="45" t="s">
        <v>11</v>
      </c>
      <c r="D186" s="45" t="s">
        <v>27</v>
      </c>
      <c r="E186" s="45">
        <v>984.93</v>
      </c>
      <c r="F186" s="45">
        <v>14</v>
      </c>
      <c r="G186" s="45">
        <v>0.2</v>
      </c>
      <c r="H186" s="46">
        <v>45733</v>
      </c>
      <c r="I186" s="45">
        <v>275.77999999999997</v>
      </c>
    </row>
    <row r="187" spans="1:9" ht="17" customHeight="1" x14ac:dyDescent="0.35">
      <c r="A187" s="45" t="s">
        <v>25</v>
      </c>
      <c r="B187" s="45" t="s">
        <v>55</v>
      </c>
      <c r="C187" s="45" t="s">
        <v>11</v>
      </c>
      <c r="D187" s="45" t="s">
        <v>15</v>
      </c>
      <c r="E187" s="45">
        <v>1493.49</v>
      </c>
      <c r="F187" s="45">
        <v>18</v>
      </c>
      <c r="G187" s="45">
        <v>0</v>
      </c>
      <c r="H187" s="46">
        <v>45734</v>
      </c>
      <c r="I187" s="45">
        <v>746.74</v>
      </c>
    </row>
    <row r="188" spans="1:9" ht="17" customHeight="1" x14ac:dyDescent="0.35">
      <c r="A188" s="45" t="s">
        <v>32</v>
      </c>
      <c r="B188" s="45" t="s">
        <v>53</v>
      </c>
      <c r="C188" s="45" t="s">
        <v>20</v>
      </c>
      <c r="D188" s="45" t="s">
        <v>15</v>
      </c>
      <c r="E188" s="45">
        <v>689.43</v>
      </c>
      <c r="F188" s="45">
        <v>9</v>
      </c>
      <c r="G188" s="45">
        <v>0.1</v>
      </c>
      <c r="H188" s="46">
        <v>45736</v>
      </c>
      <c r="I188" s="45">
        <v>310.24</v>
      </c>
    </row>
    <row r="189" spans="1:9" ht="17" customHeight="1" x14ac:dyDescent="0.35">
      <c r="A189" s="45" t="s">
        <v>40</v>
      </c>
      <c r="B189" s="45" t="s">
        <v>59</v>
      </c>
      <c r="C189" s="45" t="s">
        <v>20</v>
      </c>
      <c r="D189" s="45" t="s">
        <v>15</v>
      </c>
      <c r="E189" s="45">
        <v>682.24</v>
      </c>
      <c r="F189" s="45">
        <v>1</v>
      </c>
      <c r="G189" s="45">
        <v>0</v>
      </c>
      <c r="H189" s="46">
        <v>45738</v>
      </c>
      <c r="I189" s="45">
        <v>341.12</v>
      </c>
    </row>
    <row r="190" spans="1:9" ht="17" customHeight="1" x14ac:dyDescent="0.35">
      <c r="A190" s="45" t="s">
        <v>41</v>
      </c>
      <c r="B190" s="45" t="s">
        <v>26</v>
      </c>
      <c r="C190" s="45" t="s">
        <v>24</v>
      </c>
      <c r="D190" s="45" t="s">
        <v>21</v>
      </c>
      <c r="E190" s="45">
        <v>458.54</v>
      </c>
      <c r="F190" s="45">
        <v>15</v>
      </c>
      <c r="G190" s="45">
        <v>0.2</v>
      </c>
      <c r="H190" s="46">
        <v>45741</v>
      </c>
      <c r="I190" s="45">
        <v>91.71</v>
      </c>
    </row>
    <row r="191" spans="1:9" ht="17" customHeight="1" x14ac:dyDescent="0.35">
      <c r="A191" s="45" t="s">
        <v>32</v>
      </c>
      <c r="B191" s="45" t="s">
        <v>26</v>
      </c>
      <c r="C191" s="45" t="s">
        <v>20</v>
      </c>
      <c r="D191" s="45" t="s">
        <v>27</v>
      </c>
      <c r="E191" s="45">
        <v>1184.25</v>
      </c>
      <c r="F191" s="45">
        <v>11</v>
      </c>
      <c r="G191" s="45">
        <v>0.2</v>
      </c>
      <c r="H191" s="46">
        <v>45742</v>
      </c>
      <c r="I191" s="45">
        <v>331.59</v>
      </c>
    </row>
    <row r="192" spans="1:9" ht="17" customHeight="1" x14ac:dyDescent="0.35">
      <c r="A192" s="45" t="s">
        <v>25</v>
      </c>
      <c r="B192" s="45" t="s">
        <v>10</v>
      </c>
      <c r="C192" s="45" t="s">
        <v>20</v>
      </c>
      <c r="D192" s="45" t="s">
        <v>15</v>
      </c>
      <c r="E192" s="45">
        <v>762.14</v>
      </c>
      <c r="F192" s="45">
        <v>9</v>
      </c>
      <c r="G192" s="45">
        <v>0</v>
      </c>
      <c r="H192" s="46">
        <v>45743</v>
      </c>
      <c r="I192" s="45">
        <v>381.07</v>
      </c>
    </row>
    <row r="193" spans="1:9" ht="17" customHeight="1" x14ac:dyDescent="0.35">
      <c r="A193" s="45" t="s">
        <v>22</v>
      </c>
      <c r="B193" s="45" t="s">
        <v>53</v>
      </c>
      <c r="C193" s="45" t="s">
        <v>24</v>
      </c>
      <c r="D193" s="45" t="s">
        <v>12</v>
      </c>
      <c r="E193" s="45">
        <v>750.71</v>
      </c>
      <c r="F193" s="45">
        <v>10</v>
      </c>
      <c r="G193" s="45">
        <v>0.15</v>
      </c>
      <c r="H193" s="46">
        <v>45743</v>
      </c>
      <c r="I193" s="45">
        <v>255.24</v>
      </c>
    </row>
    <row r="194" spans="1:9" ht="17" customHeight="1" x14ac:dyDescent="0.35">
      <c r="A194" s="45" t="s">
        <v>75</v>
      </c>
      <c r="B194" s="45" t="s">
        <v>71</v>
      </c>
      <c r="C194" s="45" t="s">
        <v>34</v>
      </c>
      <c r="D194" s="45" t="s">
        <v>15</v>
      </c>
      <c r="E194" s="45">
        <v>1456.94</v>
      </c>
      <c r="F194" s="45">
        <v>14</v>
      </c>
      <c r="G194" s="45">
        <v>0.05</v>
      </c>
      <c r="H194" s="46">
        <v>45745</v>
      </c>
      <c r="I194" s="45">
        <v>692.05</v>
      </c>
    </row>
    <row r="195" spans="1:9" ht="17" customHeight="1" x14ac:dyDescent="0.35">
      <c r="A195" s="45" t="s">
        <v>44</v>
      </c>
      <c r="B195" s="45" t="s">
        <v>61</v>
      </c>
      <c r="C195" s="45" t="s">
        <v>18</v>
      </c>
      <c r="D195" s="45" t="s">
        <v>27</v>
      </c>
      <c r="E195" s="45">
        <v>1093.3800000000001</v>
      </c>
      <c r="F195" s="45">
        <v>17</v>
      </c>
      <c r="G195" s="45">
        <v>0.1</v>
      </c>
      <c r="H195" s="46">
        <v>45745</v>
      </c>
      <c r="I195" s="45">
        <v>344.41</v>
      </c>
    </row>
    <row r="196" spans="1:9" ht="17" customHeight="1" x14ac:dyDescent="0.35">
      <c r="A196" s="45" t="s">
        <v>37</v>
      </c>
      <c r="B196" s="45" t="s">
        <v>43</v>
      </c>
      <c r="C196" s="45" t="s">
        <v>11</v>
      </c>
      <c r="D196" s="45" t="s">
        <v>15</v>
      </c>
      <c r="E196" s="45">
        <v>934.27</v>
      </c>
      <c r="F196" s="45">
        <v>8</v>
      </c>
      <c r="G196" s="45">
        <v>0.15</v>
      </c>
      <c r="H196" s="46">
        <v>45746</v>
      </c>
      <c r="I196" s="45">
        <v>397.06</v>
      </c>
    </row>
    <row r="197" spans="1:9" ht="17" customHeight="1" x14ac:dyDescent="0.35">
      <c r="A197" s="45" t="s">
        <v>70</v>
      </c>
      <c r="B197" s="45" t="s">
        <v>36</v>
      </c>
      <c r="C197" s="45" t="s">
        <v>34</v>
      </c>
      <c r="D197" s="45" t="s">
        <v>15</v>
      </c>
      <c r="E197" s="45">
        <v>1465.35</v>
      </c>
      <c r="F197" s="45">
        <v>8</v>
      </c>
      <c r="G197" s="45">
        <v>0.2</v>
      </c>
      <c r="H197" s="46">
        <v>45746</v>
      </c>
      <c r="I197" s="45">
        <v>586.14</v>
      </c>
    </row>
    <row r="198" spans="1:9" ht="17" customHeight="1" x14ac:dyDescent="0.35">
      <c r="A198" s="45" t="s">
        <v>52</v>
      </c>
      <c r="B198" s="45" t="s">
        <v>14</v>
      </c>
      <c r="C198" s="45" t="s">
        <v>20</v>
      </c>
      <c r="D198" s="45" t="s">
        <v>39</v>
      </c>
      <c r="E198" s="45">
        <v>740.8</v>
      </c>
      <c r="F198" s="45">
        <v>3</v>
      </c>
      <c r="G198" s="45">
        <v>0</v>
      </c>
      <c r="H198" s="46">
        <v>45749</v>
      </c>
      <c r="I198" s="45">
        <v>333.36</v>
      </c>
    </row>
    <row r="199" spans="1:9" ht="17" customHeight="1" x14ac:dyDescent="0.35">
      <c r="A199" s="45" t="s">
        <v>58</v>
      </c>
      <c r="B199" s="45" t="s">
        <v>43</v>
      </c>
      <c r="C199" s="45" t="s">
        <v>11</v>
      </c>
      <c r="D199" s="45" t="s">
        <v>39</v>
      </c>
      <c r="E199" s="45">
        <v>545.44000000000005</v>
      </c>
      <c r="F199" s="45">
        <v>17</v>
      </c>
      <c r="G199" s="45">
        <v>0</v>
      </c>
      <c r="H199" s="46">
        <v>45752</v>
      </c>
      <c r="I199" s="45">
        <v>245.45</v>
      </c>
    </row>
    <row r="200" spans="1:9" ht="17" customHeight="1" x14ac:dyDescent="0.35">
      <c r="A200" s="45" t="s">
        <v>35</v>
      </c>
      <c r="B200" s="45" t="s">
        <v>36</v>
      </c>
      <c r="C200" s="45" t="s">
        <v>18</v>
      </c>
      <c r="D200" s="45" t="s">
        <v>12</v>
      </c>
      <c r="E200" s="45">
        <v>997.61</v>
      </c>
      <c r="F200" s="45">
        <v>8</v>
      </c>
      <c r="G200" s="45">
        <v>0.05</v>
      </c>
      <c r="H200" s="46">
        <v>45752</v>
      </c>
      <c r="I200" s="45">
        <v>379.09</v>
      </c>
    </row>
    <row r="201" spans="1:9" ht="17" customHeight="1" x14ac:dyDescent="0.35">
      <c r="A201" s="45" t="s">
        <v>60</v>
      </c>
      <c r="B201" s="45" t="s">
        <v>36</v>
      </c>
      <c r="C201" s="45" t="s">
        <v>20</v>
      </c>
      <c r="D201" s="45" t="s">
        <v>15</v>
      </c>
      <c r="E201" s="45">
        <v>928.32</v>
      </c>
      <c r="F201" s="45">
        <v>2</v>
      </c>
      <c r="G201" s="45">
        <v>0.05</v>
      </c>
      <c r="H201" s="46">
        <v>45754</v>
      </c>
      <c r="I201" s="45">
        <v>440.95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4CAB0-2299-40E6-B933-2C9C59E3EC8A}">
  <dimension ref="A3:B9"/>
  <sheetViews>
    <sheetView topLeftCell="D1" workbookViewId="0">
      <selection activeCell="Q3" sqref="Q3"/>
    </sheetView>
  </sheetViews>
  <sheetFormatPr defaultRowHeight="14.5" x14ac:dyDescent="0.35"/>
  <cols>
    <col min="1" max="1" width="13.1796875" bestFit="1" customWidth="1"/>
    <col min="2" max="2" width="11.26953125" bestFit="1" customWidth="1"/>
  </cols>
  <sheetData>
    <row r="3" spans="1:2" x14ac:dyDescent="0.35">
      <c r="A3" s="19" t="s">
        <v>77</v>
      </c>
      <c r="B3" t="s">
        <v>79</v>
      </c>
    </row>
    <row r="4" spans="1:2" x14ac:dyDescent="0.35">
      <c r="A4" s="22" t="s">
        <v>12</v>
      </c>
      <c r="B4" s="18">
        <v>47002.460000000006</v>
      </c>
    </row>
    <row r="5" spans="1:2" x14ac:dyDescent="0.35">
      <c r="A5" s="22" t="s">
        <v>15</v>
      </c>
      <c r="B5" s="18">
        <v>41927.589999999989</v>
      </c>
    </row>
    <row r="6" spans="1:2" x14ac:dyDescent="0.35">
      <c r="A6" s="22" t="s">
        <v>21</v>
      </c>
      <c r="B6" s="18">
        <v>41044.000000000007</v>
      </c>
    </row>
    <row r="7" spans="1:2" x14ac:dyDescent="0.35">
      <c r="A7" s="22" t="s">
        <v>27</v>
      </c>
      <c r="B7" s="18">
        <v>36612.89</v>
      </c>
    </row>
    <row r="8" spans="1:2" x14ac:dyDescent="0.35">
      <c r="A8" s="22" t="s">
        <v>39</v>
      </c>
      <c r="B8" s="18">
        <v>28630.819999999992</v>
      </c>
    </row>
    <row r="9" spans="1:2" x14ac:dyDescent="0.35">
      <c r="A9" s="22" t="s">
        <v>78</v>
      </c>
      <c r="B9" s="18">
        <v>195217.76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398E2-A7D1-4C58-8959-3E085ED8B847}">
  <dimension ref="A3:B9"/>
  <sheetViews>
    <sheetView workbookViewId="0">
      <selection activeCell="N6" sqref="N6"/>
    </sheetView>
  </sheetViews>
  <sheetFormatPr defaultRowHeight="14.5" x14ac:dyDescent="0.35"/>
  <cols>
    <col min="1" max="1" width="12.36328125" bestFit="1" customWidth="1"/>
    <col min="2" max="2" width="14.54296875" bestFit="1" customWidth="1"/>
  </cols>
  <sheetData>
    <row r="3" spans="1:2" x14ac:dyDescent="0.35">
      <c r="A3" s="19" t="s">
        <v>77</v>
      </c>
      <c r="B3" t="s">
        <v>151</v>
      </c>
    </row>
    <row r="4" spans="1:2" x14ac:dyDescent="0.35">
      <c r="A4" s="22" t="s">
        <v>34</v>
      </c>
      <c r="B4" s="18">
        <v>410</v>
      </c>
    </row>
    <row r="5" spans="1:2" x14ac:dyDescent="0.35">
      <c r="A5" s="22" t="s">
        <v>18</v>
      </c>
      <c r="B5" s="18">
        <v>374</v>
      </c>
    </row>
    <row r="6" spans="1:2" x14ac:dyDescent="0.35">
      <c r="A6" s="22" t="s">
        <v>24</v>
      </c>
      <c r="B6" s="18">
        <v>383</v>
      </c>
    </row>
    <row r="7" spans="1:2" x14ac:dyDescent="0.35">
      <c r="A7" s="22" t="s">
        <v>20</v>
      </c>
      <c r="B7" s="18">
        <v>374</v>
      </c>
    </row>
    <row r="8" spans="1:2" x14ac:dyDescent="0.35">
      <c r="A8" s="22" t="s">
        <v>11</v>
      </c>
      <c r="B8" s="18">
        <v>458</v>
      </c>
    </row>
    <row r="9" spans="1:2" x14ac:dyDescent="0.35">
      <c r="A9" s="22" t="s">
        <v>78</v>
      </c>
      <c r="B9" s="18">
        <v>1999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5F85B-5BCA-49BD-95C5-44CE953F3199}">
  <dimension ref="A3:B9"/>
  <sheetViews>
    <sheetView workbookViewId="0">
      <selection activeCell="L7" sqref="L7"/>
    </sheetView>
  </sheetViews>
  <sheetFormatPr defaultRowHeight="14.5" x14ac:dyDescent="0.35"/>
  <cols>
    <col min="1" max="1" width="12.36328125" bestFit="1" customWidth="1"/>
    <col min="2" max="2" width="11.26953125" bestFit="1" customWidth="1"/>
  </cols>
  <sheetData>
    <row r="3" spans="1:2" x14ac:dyDescent="0.35">
      <c r="A3" s="19" t="s">
        <v>77</v>
      </c>
      <c r="B3" t="s">
        <v>79</v>
      </c>
    </row>
    <row r="4" spans="1:2" x14ac:dyDescent="0.35">
      <c r="A4" s="22" t="s">
        <v>55</v>
      </c>
      <c r="B4" s="18">
        <v>11915.829999999998</v>
      </c>
    </row>
    <row r="5" spans="1:2" x14ac:dyDescent="0.35">
      <c r="A5" s="22" t="s">
        <v>38</v>
      </c>
      <c r="B5" s="18">
        <v>11398.32</v>
      </c>
    </row>
    <row r="6" spans="1:2" x14ac:dyDescent="0.35">
      <c r="A6" s="22" t="s">
        <v>23</v>
      </c>
      <c r="B6" s="18">
        <v>20774.739999999998</v>
      </c>
    </row>
    <row r="7" spans="1:2" x14ac:dyDescent="0.35">
      <c r="A7" s="22" t="s">
        <v>29</v>
      </c>
      <c r="B7" s="18">
        <v>9970.1999999999989</v>
      </c>
    </row>
    <row r="8" spans="1:2" x14ac:dyDescent="0.35">
      <c r="A8" s="22" t="s">
        <v>31</v>
      </c>
      <c r="B8" s="18">
        <v>17143.289999999997</v>
      </c>
    </row>
    <row r="9" spans="1:2" x14ac:dyDescent="0.35">
      <c r="A9" s="22" t="s">
        <v>78</v>
      </c>
      <c r="B9" s="18">
        <v>71202.37999999999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0AE97-6E01-4AAB-B2F7-4C3761683CA8}">
  <dimension ref="A3:B19"/>
  <sheetViews>
    <sheetView workbookViewId="0">
      <selection activeCell="B19" sqref="B19"/>
    </sheetView>
  </sheetViews>
  <sheetFormatPr defaultRowHeight="14.5" x14ac:dyDescent="0.35"/>
  <cols>
    <col min="1" max="1" width="12.36328125" bestFit="1" customWidth="1"/>
    <col min="2" max="2" width="11.81640625" bestFit="1" customWidth="1"/>
  </cols>
  <sheetData>
    <row r="3" spans="1:2" x14ac:dyDescent="0.35">
      <c r="A3" s="19" t="s">
        <v>77</v>
      </c>
      <c r="B3" t="s">
        <v>152</v>
      </c>
    </row>
    <row r="4" spans="1:2" x14ac:dyDescent="0.35">
      <c r="A4" s="22" t="s">
        <v>137</v>
      </c>
      <c r="B4" s="18">
        <v>49014.139999999992</v>
      </c>
    </row>
    <row r="5" spans="1:2" x14ac:dyDescent="0.35">
      <c r="A5" s="50" t="s">
        <v>138</v>
      </c>
      <c r="B5" s="18">
        <v>6244.01</v>
      </c>
    </row>
    <row r="6" spans="1:2" x14ac:dyDescent="0.35">
      <c r="A6" s="50" t="s">
        <v>139</v>
      </c>
      <c r="B6" s="18">
        <v>6121.3499999999995</v>
      </c>
    </row>
    <row r="7" spans="1:2" x14ac:dyDescent="0.35">
      <c r="A7" s="50" t="s">
        <v>140</v>
      </c>
      <c r="B7" s="18">
        <v>6918</v>
      </c>
    </row>
    <row r="8" spans="1:2" x14ac:dyDescent="0.35">
      <c r="A8" s="50" t="s">
        <v>141</v>
      </c>
      <c r="B8" s="18">
        <v>3743.85</v>
      </c>
    </row>
    <row r="9" spans="1:2" x14ac:dyDescent="0.35">
      <c r="A9" s="50" t="s">
        <v>142</v>
      </c>
      <c r="B9" s="18">
        <v>3302.84</v>
      </c>
    </row>
    <row r="10" spans="1:2" x14ac:dyDescent="0.35">
      <c r="A10" s="50" t="s">
        <v>143</v>
      </c>
      <c r="B10" s="18">
        <v>7457.5199999999995</v>
      </c>
    </row>
    <row r="11" spans="1:2" x14ac:dyDescent="0.35">
      <c r="A11" s="50" t="s">
        <v>144</v>
      </c>
      <c r="B11" s="18">
        <v>4861.7</v>
      </c>
    </row>
    <row r="12" spans="1:2" x14ac:dyDescent="0.35">
      <c r="A12" s="50" t="s">
        <v>145</v>
      </c>
      <c r="B12" s="18">
        <v>6814.8799999999992</v>
      </c>
    </row>
    <row r="13" spans="1:2" x14ac:dyDescent="0.35">
      <c r="A13" s="50" t="s">
        <v>146</v>
      </c>
      <c r="B13" s="18">
        <v>3549.99</v>
      </c>
    </row>
    <row r="14" spans="1:2" x14ac:dyDescent="0.35">
      <c r="A14" s="22" t="s">
        <v>147</v>
      </c>
      <c r="B14" s="18">
        <v>19272.87</v>
      </c>
    </row>
    <row r="15" spans="1:2" x14ac:dyDescent="0.35">
      <c r="A15" s="50" t="s">
        <v>148</v>
      </c>
      <c r="B15" s="18">
        <v>5763.4</v>
      </c>
    </row>
    <row r="16" spans="1:2" x14ac:dyDescent="0.35">
      <c r="A16" s="50" t="s">
        <v>149</v>
      </c>
      <c r="B16" s="18">
        <v>5039.2299999999996</v>
      </c>
    </row>
    <row r="17" spans="1:2" x14ac:dyDescent="0.35">
      <c r="A17" s="50" t="s">
        <v>150</v>
      </c>
      <c r="B17" s="18">
        <v>7071.39</v>
      </c>
    </row>
    <row r="18" spans="1:2" x14ac:dyDescent="0.35">
      <c r="A18" s="50" t="s">
        <v>138</v>
      </c>
      <c r="B18" s="18">
        <v>1398.85</v>
      </c>
    </row>
    <row r="19" spans="1:2" x14ac:dyDescent="0.35">
      <c r="A19" s="22" t="s">
        <v>78</v>
      </c>
      <c r="B19" s="18">
        <v>68287.009999999995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42CA5-6DD4-467C-B592-3C6F1C548D2F}">
  <dimension ref="A1:I201"/>
  <sheetViews>
    <sheetView topLeftCell="D1" workbookViewId="0">
      <selection sqref="A1:I201"/>
    </sheetView>
  </sheetViews>
  <sheetFormatPr defaultRowHeight="14.5" x14ac:dyDescent="0.35"/>
  <cols>
    <col min="1" max="1" width="12.6328125" customWidth="1"/>
    <col min="2" max="2" width="15.81640625" customWidth="1"/>
    <col min="4" max="4" width="16.54296875" customWidth="1"/>
    <col min="7" max="7" width="11.08984375" customWidth="1"/>
    <col min="8" max="8" width="14.1796875" customWidth="1"/>
  </cols>
  <sheetData>
    <row r="1" spans="1:9" ht="16.5" customHeight="1" thickBot="1" x14ac:dyDescent="0.4">
      <c r="A1" s="16" t="s">
        <v>0</v>
      </c>
      <c r="B1" s="16" t="s">
        <v>1</v>
      </c>
      <c r="C1" s="16" t="s">
        <v>2</v>
      </c>
      <c r="D1" s="16" t="s">
        <v>3</v>
      </c>
      <c r="E1" s="16" t="s">
        <v>4</v>
      </c>
      <c r="F1" s="16" t="s">
        <v>5</v>
      </c>
      <c r="G1" s="16" t="s">
        <v>6</v>
      </c>
      <c r="H1" s="16" t="s">
        <v>7</v>
      </c>
      <c r="I1" s="16" t="s">
        <v>8</v>
      </c>
    </row>
    <row r="2" spans="1:9" ht="16.5" customHeight="1" thickBot="1" x14ac:dyDescent="0.4">
      <c r="A2" s="1" t="s">
        <v>9</v>
      </c>
      <c r="B2" s="1" t="s">
        <v>10</v>
      </c>
      <c r="C2" s="1" t="s">
        <v>11</v>
      </c>
      <c r="D2" s="1" t="s">
        <v>12</v>
      </c>
      <c r="E2" s="2">
        <v>1036.0899999999999</v>
      </c>
      <c r="F2" s="2">
        <v>4</v>
      </c>
      <c r="G2" s="2">
        <v>0.2</v>
      </c>
      <c r="H2" s="3">
        <v>45392</v>
      </c>
      <c r="I2" s="2">
        <v>331.55</v>
      </c>
    </row>
    <row r="3" spans="1:9" ht="16.5" customHeight="1" thickBot="1" x14ac:dyDescent="0.4">
      <c r="A3" s="1" t="s">
        <v>13</v>
      </c>
      <c r="B3" s="1" t="s">
        <v>14</v>
      </c>
      <c r="C3" s="1" t="s">
        <v>11</v>
      </c>
      <c r="D3" s="1" t="s">
        <v>15</v>
      </c>
      <c r="E3" s="2">
        <v>1101.28</v>
      </c>
      <c r="F3" s="2">
        <v>3</v>
      </c>
      <c r="G3" s="2">
        <v>0.2</v>
      </c>
      <c r="H3" s="3">
        <v>45393</v>
      </c>
      <c r="I3" s="2">
        <v>440.51</v>
      </c>
    </row>
    <row r="4" spans="1:9" ht="16.5" customHeight="1" thickBot="1" x14ac:dyDescent="0.4">
      <c r="A4" s="1" t="s">
        <v>16</v>
      </c>
      <c r="B4" s="1" t="s">
        <v>17</v>
      </c>
      <c r="C4" s="1" t="s">
        <v>18</v>
      </c>
      <c r="D4" s="1" t="s">
        <v>12</v>
      </c>
      <c r="E4" s="2">
        <v>713.34</v>
      </c>
      <c r="F4" s="2">
        <v>17</v>
      </c>
      <c r="G4" s="2">
        <v>0</v>
      </c>
      <c r="H4" s="3">
        <v>45396</v>
      </c>
      <c r="I4" s="2">
        <v>285.33999999999997</v>
      </c>
    </row>
    <row r="5" spans="1:9" ht="16.5" customHeight="1" thickBot="1" x14ac:dyDescent="0.4">
      <c r="A5" s="1" t="s">
        <v>19</v>
      </c>
      <c r="B5" s="1" t="s">
        <v>14</v>
      </c>
      <c r="C5" s="1" t="s">
        <v>20</v>
      </c>
      <c r="D5" s="1" t="s">
        <v>21</v>
      </c>
      <c r="E5" s="2">
        <v>760.93</v>
      </c>
      <c r="F5" s="2">
        <v>4</v>
      </c>
      <c r="G5" s="2">
        <v>0.15</v>
      </c>
      <c r="H5" s="3">
        <v>45396</v>
      </c>
      <c r="I5" s="2">
        <v>161.69999999999999</v>
      </c>
    </row>
    <row r="6" spans="1:9" ht="16.5" customHeight="1" thickBot="1" x14ac:dyDescent="0.4">
      <c r="A6" s="1" t="s">
        <v>22</v>
      </c>
      <c r="B6" s="1" t="s">
        <v>23</v>
      </c>
      <c r="C6" s="1" t="s">
        <v>24</v>
      </c>
      <c r="D6" s="1" t="s">
        <v>12</v>
      </c>
      <c r="E6" s="2">
        <v>847</v>
      </c>
      <c r="F6" s="2">
        <v>12</v>
      </c>
      <c r="G6" s="2">
        <v>0.2</v>
      </c>
      <c r="H6" s="3">
        <v>45397</v>
      </c>
      <c r="I6" s="2">
        <v>271.04000000000002</v>
      </c>
    </row>
    <row r="7" spans="1:9" ht="16.5" customHeight="1" thickBot="1" x14ac:dyDescent="0.4">
      <c r="A7" s="1" t="s">
        <v>25</v>
      </c>
      <c r="B7" s="1" t="s">
        <v>26</v>
      </c>
      <c r="C7" s="1" t="s">
        <v>24</v>
      </c>
      <c r="D7" s="1" t="s">
        <v>27</v>
      </c>
      <c r="E7" s="2">
        <v>965.64</v>
      </c>
      <c r="F7" s="2">
        <v>8</v>
      </c>
      <c r="G7" s="2">
        <v>0.1</v>
      </c>
      <c r="H7" s="3">
        <v>45398</v>
      </c>
      <c r="I7" s="2">
        <v>304.18</v>
      </c>
    </row>
    <row r="8" spans="1:9" ht="16.5" customHeight="1" thickBot="1" x14ac:dyDescent="0.4">
      <c r="A8" s="1" t="s">
        <v>28</v>
      </c>
      <c r="B8" s="1" t="s">
        <v>29</v>
      </c>
      <c r="C8" s="1" t="s">
        <v>11</v>
      </c>
      <c r="D8" s="1" t="s">
        <v>21</v>
      </c>
      <c r="E8" s="2">
        <v>1317.53</v>
      </c>
      <c r="F8" s="2">
        <v>12</v>
      </c>
      <c r="G8" s="2">
        <v>0.05</v>
      </c>
      <c r="H8" s="3">
        <v>45398</v>
      </c>
      <c r="I8" s="2">
        <v>312.91000000000003</v>
      </c>
    </row>
    <row r="9" spans="1:9" ht="16.5" customHeight="1" thickBot="1" x14ac:dyDescent="0.4">
      <c r="A9" s="1" t="s">
        <v>30</v>
      </c>
      <c r="B9" s="1" t="s">
        <v>31</v>
      </c>
      <c r="C9" s="1" t="s">
        <v>18</v>
      </c>
      <c r="D9" s="1" t="s">
        <v>27</v>
      </c>
      <c r="E9" s="2">
        <v>1074.47</v>
      </c>
      <c r="F9" s="2">
        <v>6</v>
      </c>
      <c r="G9" s="2">
        <v>0.2</v>
      </c>
      <c r="H9" s="3">
        <v>45401</v>
      </c>
      <c r="I9" s="2">
        <v>300.85000000000002</v>
      </c>
    </row>
    <row r="10" spans="1:9" ht="16.5" customHeight="1" thickBot="1" x14ac:dyDescent="0.4">
      <c r="A10" s="1" t="s">
        <v>32</v>
      </c>
      <c r="B10" s="1" t="s">
        <v>33</v>
      </c>
      <c r="C10" s="1" t="s">
        <v>34</v>
      </c>
      <c r="D10" s="1" t="s">
        <v>12</v>
      </c>
      <c r="E10" s="2">
        <v>501.54</v>
      </c>
      <c r="F10" s="2">
        <v>11</v>
      </c>
      <c r="G10" s="2">
        <v>0.05</v>
      </c>
      <c r="H10" s="3">
        <v>45401</v>
      </c>
      <c r="I10" s="2">
        <v>190.59</v>
      </c>
    </row>
    <row r="11" spans="1:9" ht="16.5" customHeight="1" thickBot="1" x14ac:dyDescent="0.4">
      <c r="A11" s="1" t="s">
        <v>35</v>
      </c>
      <c r="B11" s="1" t="s">
        <v>36</v>
      </c>
      <c r="C11" s="1" t="s">
        <v>34</v>
      </c>
      <c r="D11" s="1" t="s">
        <v>15</v>
      </c>
      <c r="E11" s="2">
        <v>737.31</v>
      </c>
      <c r="F11" s="2">
        <v>2</v>
      </c>
      <c r="G11" s="2">
        <v>0.05</v>
      </c>
      <c r="H11" s="3">
        <v>45401</v>
      </c>
      <c r="I11" s="2">
        <v>350.22</v>
      </c>
    </row>
    <row r="12" spans="1:9" ht="16.5" customHeight="1" thickBot="1" x14ac:dyDescent="0.4">
      <c r="A12" s="1" t="s">
        <v>37</v>
      </c>
      <c r="B12" s="1" t="s">
        <v>38</v>
      </c>
      <c r="C12" s="1" t="s">
        <v>11</v>
      </c>
      <c r="D12" s="1" t="s">
        <v>39</v>
      </c>
      <c r="E12" s="2">
        <v>1572.82</v>
      </c>
      <c r="F12" s="2">
        <v>6</v>
      </c>
      <c r="G12" s="2">
        <v>0.05</v>
      </c>
      <c r="H12" s="3">
        <v>45402</v>
      </c>
      <c r="I12" s="2">
        <v>672.38</v>
      </c>
    </row>
    <row r="13" spans="1:9" ht="16.5" customHeight="1" thickBot="1" x14ac:dyDescent="0.4">
      <c r="A13" s="1" t="s">
        <v>37</v>
      </c>
      <c r="B13" s="1" t="s">
        <v>36</v>
      </c>
      <c r="C13" s="1" t="s">
        <v>34</v>
      </c>
      <c r="D13" s="1" t="s">
        <v>12</v>
      </c>
      <c r="E13" s="2">
        <v>1343.13</v>
      </c>
      <c r="F13" s="2">
        <v>14</v>
      </c>
      <c r="G13" s="2">
        <v>0.15</v>
      </c>
      <c r="H13" s="3">
        <v>45404</v>
      </c>
      <c r="I13" s="2">
        <v>456.66</v>
      </c>
    </row>
    <row r="14" spans="1:9" ht="16.5" customHeight="1" thickBot="1" x14ac:dyDescent="0.4">
      <c r="A14" s="1" t="s">
        <v>25</v>
      </c>
      <c r="B14" s="1" t="s">
        <v>26</v>
      </c>
      <c r="C14" s="1" t="s">
        <v>34</v>
      </c>
      <c r="D14" s="1" t="s">
        <v>12</v>
      </c>
      <c r="E14" s="2">
        <v>1191.58</v>
      </c>
      <c r="F14" s="2">
        <v>14</v>
      </c>
      <c r="G14" s="2">
        <v>0.05</v>
      </c>
      <c r="H14" s="3">
        <v>45406</v>
      </c>
      <c r="I14" s="2">
        <v>452.8</v>
      </c>
    </row>
    <row r="15" spans="1:9" ht="16.5" customHeight="1" thickBot="1" x14ac:dyDescent="0.4">
      <c r="A15" s="1" t="s">
        <v>40</v>
      </c>
      <c r="B15" s="1" t="s">
        <v>14</v>
      </c>
      <c r="C15" s="1" t="s">
        <v>11</v>
      </c>
      <c r="D15" s="1" t="s">
        <v>27</v>
      </c>
      <c r="E15" s="2">
        <v>822.28</v>
      </c>
      <c r="F15" s="2">
        <v>7</v>
      </c>
      <c r="G15" s="2">
        <v>0.05</v>
      </c>
      <c r="H15" s="3">
        <v>45406</v>
      </c>
      <c r="I15" s="2">
        <v>273.41000000000003</v>
      </c>
    </row>
    <row r="16" spans="1:9" ht="16.5" customHeight="1" thickBot="1" x14ac:dyDescent="0.4">
      <c r="A16" s="1" t="s">
        <v>41</v>
      </c>
      <c r="B16" s="1" t="s">
        <v>42</v>
      </c>
      <c r="C16" s="1" t="s">
        <v>24</v>
      </c>
      <c r="D16" s="1" t="s">
        <v>27</v>
      </c>
      <c r="E16" s="2">
        <v>521.66999999999996</v>
      </c>
      <c r="F16" s="2">
        <v>15</v>
      </c>
      <c r="G16" s="2">
        <v>0.15</v>
      </c>
      <c r="H16" s="3">
        <v>45409</v>
      </c>
      <c r="I16" s="2">
        <v>155.19999999999999</v>
      </c>
    </row>
    <row r="17" spans="1:9" ht="16.5" customHeight="1" thickBot="1" x14ac:dyDescent="0.4">
      <c r="A17" s="1" t="s">
        <v>19</v>
      </c>
      <c r="B17" s="1" t="s">
        <v>43</v>
      </c>
      <c r="C17" s="1" t="s">
        <v>20</v>
      </c>
      <c r="D17" s="1" t="s">
        <v>21</v>
      </c>
      <c r="E17" s="2">
        <v>1502.93</v>
      </c>
      <c r="F17" s="2">
        <v>14</v>
      </c>
      <c r="G17" s="2">
        <v>0.2</v>
      </c>
      <c r="H17" s="3">
        <v>45410</v>
      </c>
      <c r="I17" s="2">
        <v>300.58999999999997</v>
      </c>
    </row>
    <row r="18" spans="1:9" ht="16.5" customHeight="1" thickBot="1" x14ac:dyDescent="0.4">
      <c r="A18" s="1" t="s">
        <v>44</v>
      </c>
      <c r="B18" s="1" t="s">
        <v>14</v>
      </c>
      <c r="C18" s="1" t="s">
        <v>20</v>
      </c>
      <c r="D18" s="1" t="s">
        <v>12</v>
      </c>
      <c r="E18" s="2">
        <v>877.58</v>
      </c>
      <c r="F18" s="2">
        <v>10</v>
      </c>
      <c r="G18" s="2">
        <v>0.15</v>
      </c>
      <c r="H18" s="3">
        <v>45411</v>
      </c>
      <c r="I18" s="2">
        <v>298.38</v>
      </c>
    </row>
    <row r="19" spans="1:9" ht="16.5" customHeight="1" thickBot="1" x14ac:dyDescent="0.4">
      <c r="A19" s="1" t="s">
        <v>28</v>
      </c>
      <c r="B19" s="1" t="s">
        <v>45</v>
      </c>
      <c r="C19" s="1" t="s">
        <v>11</v>
      </c>
      <c r="D19" s="1" t="s">
        <v>12</v>
      </c>
      <c r="E19" s="2">
        <v>636.70000000000005</v>
      </c>
      <c r="F19" s="2">
        <v>4</v>
      </c>
      <c r="G19" s="2">
        <v>0.2</v>
      </c>
      <c r="H19" s="3">
        <v>45411</v>
      </c>
      <c r="I19" s="2">
        <v>203.74</v>
      </c>
    </row>
    <row r="20" spans="1:9" ht="16.5" customHeight="1" thickBot="1" x14ac:dyDescent="0.4">
      <c r="A20" s="1" t="s">
        <v>46</v>
      </c>
      <c r="B20" s="1" t="s">
        <v>47</v>
      </c>
      <c r="C20" s="1" t="s">
        <v>11</v>
      </c>
      <c r="D20" s="1" t="s">
        <v>12</v>
      </c>
      <c r="E20" s="2">
        <v>1506.14</v>
      </c>
      <c r="F20" s="2">
        <v>13</v>
      </c>
      <c r="G20" s="2">
        <v>0.2</v>
      </c>
      <c r="H20" s="3">
        <v>45412</v>
      </c>
      <c r="I20" s="2">
        <v>481.96</v>
      </c>
    </row>
    <row r="21" spans="1:9" ht="16.5" customHeight="1" thickBot="1" x14ac:dyDescent="0.4">
      <c r="A21" s="1" t="s">
        <v>30</v>
      </c>
      <c r="B21" s="1" t="s">
        <v>31</v>
      </c>
      <c r="C21" s="1" t="s">
        <v>34</v>
      </c>
      <c r="D21" s="1" t="s">
        <v>21</v>
      </c>
      <c r="E21" s="2">
        <v>645.02</v>
      </c>
      <c r="F21" s="2">
        <v>4</v>
      </c>
      <c r="G21" s="2">
        <v>0</v>
      </c>
      <c r="H21" s="3">
        <v>45414</v>
      </c>
      <c r="I21" s="2">
        <v>161.26</v>
      </c>
    </row>
    <row r="22" spans="1:9" ht="16.5" customHeight="1" thickBot="1" x14ac:dyDescent="0.4">
      <c r="A22" s="1" t="s">
        <v>25</v>
      </c>
      <c r="B22" s="1" t="s">
        <v>48</v>
      </c>
      <c r="C22" s="1" t="s">
        <v>20</v>
      </c>
      <c r="D22" s="1" t="s">
        <v>15</v>
      </c>
      <c r="E22" s="2">
        <v>953.3</v>
      </c>
      <c r="F22" s="2">
        <v>11</v>
      </c>
      <c r="G22" s="2">
        <v>0</v>
      </c>
      <c r="H22" s="3">
        <v>45415</v>
      </c>
      <c r="I22" s="2">
        <v>476.65</v>
      </c>
    </row>
    <row r="23" spans="1:9" ht="16.5" customHeight="1" thickBot="1" x14ac:dyDescent="0.4">
      <c r="A23" s="1" t="s">
        <v>49</v>
      </c>
      <c r="B23" s="1" t="s">
        <v>14</v>
      </c>
      <c r="C23" s="1" t="s">
        <v>24</v>
      </c>
      <c r="D23" s="1" t="s">
        <v>21</v>
      </c>
      <c r="E23" s="2">
        <v>388.56</v>
      </c>
      <c r="F23" s="2">
        <v>14</v>
      </c>
      <c r="G23" s="2">
        <v>0.15</v>
      </c>
      <c r="H23" s="3">
        <v>45416</v>
      </c>
      <c r="I23" s="2">
        <v>82.57</v>
      </c>
    </row>
    <row r="24" spans="1:9" ht="16.5" customHeight="1" thickBot="1" x14ac:dyDescent="0.4">
      <c r="A24" s="1" t="s">
        <v>9</v>
      </c>
      <c r="B24" s="1" t="s">
        <v>31</v>
      </c>
      <c r="C24" s="1" t="s">
        <v>11</v>
      </c>
      <c r="D24" s="1" t="s">
        <v>12</v>
      </c>
      <c r="E24" s="2">
        <v>743.17</v>
      </c>
      <c r="F24" s="2">
        <v>9</v>
      </c>
      <c r="G24" s="2">
        <v>0</v>
      </c>
      <c r="H24" s="3">
        <v>45416</v>
      </c>
      <c r="I24" s="2">
        <v>297.27</v>
      </c>
    </row>
    <row r="25" spans="1:9" ht="16.5" customHeight="1" thickBot="1" x14ac:dyDescent="0.4">
      <c r="A25" s="1" t="s">
        <v>40</v>
      </c>
      <c r="B25" s="1" t="s">
        <v>31</v>
      </c>
      <c r="C25" s="1" t="s">
        <v>34</v>
      </c>
      <c r="D25" s="1" t="s">
        <v>21</v>
      </c>
      <c r="E25" s="2">
        <v>706.37</v>
      </c>
      <c r="F25" s="2">
        <v>6</v>
      </c>
      <c r="G25" s="2">
        <v>0</v>
      </c>
      <c r="H25" s="3">
        <v>45416</v>
      </c>
      <c r="I25" s="2">
        <v>176.59</v>
      </c>
    </row>
    <row r="26" spans="1:9" ht="16.5" customHeight="1" thickBot="1" x14ac:dyDescent="0.4">
      <c r="A26" s="1" t="s">
        <v>13</v>
      </c>
      <c r="B26" s="1" t="s">
        <v>31</v>
      </c>
      <c r="C26" s="1" t="s">
        <v>34</v>
      </c>
      <c r="D26" s="1" t="s">
        <v>39</v>
      </c>
      <c r="E26" s="2">
        <v>925.31</v>
      </c>
      <c r="F26" s="2">
        <v>8</v>
      </c>
      <c r="G26" s="2">
        <v>0.1</v>
      </c>
      <c r="H26" s="3">
        <v>45418</v>
      </c>
      <c r="I26" s="2">
        <v>374.75</v>
      </c>
    </row>
    <row r="27" spans="1:9" ht="16.5" customHeight="1" thickBot="1" x14ac:dyDescent="0.4">
      <c r="A27" s="1" t="s">
        <v>35</v>
      </c>
      <c r="B27" s="1" t="s">
        <v>50</v>
      </c>
      <c r="C27" s="1" t="s">
        <v>20</v>
      </c>
      <c r="D27" s="1" t="s">
        <v>21</v>
      </c>
      <c r="E27" s="2">
        <v>1173.1199999999999</v>
      </c>
      <c r="F27" s="2">
        <v>18</v>
      </c>
      <c r="G27" s="2">
        <v>0</v>
      </c>
      <c r="H27" s="3">
        <v>45418</v>
      </c>
      <c r="I27" s="2">
        <v>293.27999999999997</v>
      </c>
    </row>
    <row r="28" spans="1:9" ht="16.5" customHeight="1" thickBot="1" x14ac:dyDescent="0.4">
      <c r="A28" s="1" t="s">
        <v>22</v>
      </c>
      <c r="B28" s="1" t="s">
        <v>51</v>
      </c>
      <c r="C28" s="1" t="s">
        <v>24</v>
      </c>
      <c r="D28" s="1" t="s">
        <v>27</v>
      </c>
      <c r="E28" s="2">
        <v>675.54</v>
      </c>
      <c r="F28" s="2">
        <v>17</v>
      </c>
      <c r="G28" s="2">
        <v>0</v>
      </c>
      <c r="H28" s="3">
        <v>45420</v>
      </c>
      <c r="I28" s="2">
        <v>236.44</v>
      </c>
    </row>
    <row r="29" spans="1:9" ht="16.5" customHeight="1" thickBot="1" x14ac:dyDescent="0.4">
      <c r="A29" s="1" t="s">
        <v>25</v>
      </c>
      <c r="B29" s="1" t="s">
        <v>14</v>
      </c>
      <c r="C29" s="1" t="s">
        <v>34</v>
      </c>
      <c r="D29" s="1" t="s">
        <v>12</v>
      </c>
      <c r="E29" s="2">
        <v>939.09</v>
      </c>
      <c r="F29" s="2">
        <v>2</v>
      </c>
      <c r="G29" s="2">
        <v>0.05</v>
      </c>
      <c r="H29" s="3">
        <v>45422</v>
      </c>
      <c r="I29" s="2">
        <v>356.85</v>
      </c>
    </row>
    <row r="30" spans="1:9" ht="16.5" customHeight="1" thickBot="1" x14ac:dyDescent="0.4">
      <c r="A30" s="1" t="s">
        <v>52</v>
      </c>
      <c r="B30" s="1" t="s">
        <v>53</v>
      </c>
      <c r="C30" s="1" t="s">
        <v>18</v>
      </c>
      <c r="D30" s="1" t="s">
        <v>39</v>
      </c>
      <c r="E30" s="2">
        <v>983.34</v>
      </c>
      <c r="F30" s="2">
        <v>19</v>
      </c>
      <c r="G30" s="2">
        <v>0.1</v>
      </c>
      <c r="H30" s="3">
        <v>45426</v>
      </c>
      <c r="I30" s="2">
        <v>398.25</v>
      </c>
    </row>
    <row r="31" spans="1:9" ht="16.5" customHeight="1" thickBot="1" x14ac:dyDescent="0.4">
      <c r="A31" s="1" t="s">
        <v>52</v>
      </c>
      <c r="B31" s="1" t="s">
        <v>23</v>
      </c>
      <c r="C31" s="1" t="s">
        <v>20</v>
      </c>
      <c r="D31" s="1" t="s">
        <v>21</v>
      </c>
      <c r="E31" s="2">
        <v>801.21</v>
      </c>
      <c r="F31" s="2">
        <v>3</v>
      </c>
      <c r="G31" s="2">
        <v>0.2</v>
      </c>
      <c r="H31" s="3">
        <v>45426</v>
      </c>
      <c r="I31" s="2">
        <v>160.24</v>
      </c>
    </row>
    <row r="32" spans="1:9" ht="16.5" customHeight="1" thickBot="1" x14ac:dyDescent="0.4">
      <c r="A32" s="1" t="s">
        <v>54</v>
      </c>
      <c r="B32" s="1" t="s">
        <v>55</v>
      </c>
      <c r="C32" s="1" t="s">
        <v>24</v>
      </c>
      <c r="D32" s="1" t="s">
        <v>21</v>
      </c>
      <c r="E32" s="2">
        <v>1450.71</v>
      </c>
      <c r="F32" s="2">
        <v>5</v>
      </c>
      <c r="G32" s="2">
        <v>0.1</v>
      </c>
      <c r="H32" s="3">
        <v>45427</v>
      </c>
      <c r="I32" s="2">
        <v>326.41000000000003</v>
      </c>
    </row>
    <row r="33" spans="1:9" ht="16.5" customHeight="1" thickBot="1" x14ac:dyDescent="0.4">
      <c r="A33" s="1" t="s">
        <v>49</v>
      </c>
      <c r="B33" s="1" t="s">
        <v>56</v>
      </c>
      <c r="C33" s="1" t="s">
        <v>34</v>
      </c>
      <c r="D33" s="1" t="s">
        <v>12</v>
      </c>
      <c r="E33" s="2">
        <v>1023.21</v>
      </c>
      <c r="F33" s="2">
        <v>18</v>
      </c>
      <c r="G33" s="2">
        <v>0.05</v>
      </c>
      <c r="H33" s="3">
        <v>45428</v>
      </c>
      <c r="I33" s="2">
        <v>388.82</v>
      </c>
    </row>
    <row r="34" spans="1:9" ht="16.5" customHeight="1" thickBot="1" x14ac:dyDescent="0.4">
      <c r="A34" s="1" t="s">
        <v>28</v>
      </c>
      <c r="B34" s="1" t="s">
        <v>47</v>
      </c>
      <c r="C34" s="1" t="s">
        <v>11</v>
      </c>
      <c r="D34" s="1" t="s">
        <v>27</v>
      </c>
      <c r="E34" s="2">
        <v>853.72</v>
      </c>
      <c r="F34" s="2">
        <v>5</v>
      </c>
      <c r="G34" s="2">
        <v>0.15</v>
      </c>
      <c r="H34" s="3">
        <v>45428</v>
      </c>
      <c r="I34" s="2">
        <v>253.98</v>
      </c>
    </row>
    <row r="35" spans="1:9" ht="16.5" customHeight="1" thickBot="1" x14ac:dyDescent="0.4">
      <c r="A35" s="1" t="s">
        <v>57</v>
      </c>
      <c r="B35" s="1" t="s">
        <v>43</v>
      </c>
      <c r="C35" s="1" t="s">
        <v>20</v>
      </c>
      <c r="D35" s="1" t="s">
        <v>21</v>
      </c>
      <c r="E35" s="2">
        <v>967.89</v>
      </c>
      <c r="F35" s="2">
        <v>10</v>
      </c>
      <c r="G35" s="2">
        <v>0.1</v>
      </c>
      <c r="H35" s="3">
        <v>45429</v>
      </c>
      <c r="I35" s="2">
        <v>217.78</v>
      </c>
    </row>
    <row r="36" spans="1:9" ht="16.5" customHeight="1" thickBot="1" x14ac:dyDescent="0.4">
      <c r="A36" s="1" t="s">
        <v>58</v>
      </c>
      <c r="B36" s="1" t="s">
        <v>53</v>
      </c>
      <c r="C36" s="1" t="s">
        <v>24</v>
      </c>
      <c r="D36" s="1" t="s">
        <v>39</v>
      </c>
      <c r="E36" s="2">
        <v>1200.9000000000001</v>
      </c>
      <c r="F36" s="2">
        <v>14</v>
      </c>
      <c r="G36" s="2">
        <v>0.05</v>
      </c>
      <c r="H36" s="3">
        <v>45429</v>
      </c>
      <c r="I36" s="2">
        <v>513.38</v>
      </c>
    </row>
    <row r="37" spans="1:9" ht="16.5" customHeight="1" thickBot="1" x14ac:dyDescent="0.4">
      <c r="A37" s="1" t="s">
        <v>13</v>
      </c>
      <c r="B37" s="1" t="s">
        <v>26</v>
      </c>
      <c r="C37" s="1" t="s">
        <v>11</v>
      </c>
      <c r="D37" s="1" t="s">
        <v>12</v>
      </c>
      <c r="E37" s="2">
        <v>472.38</v>
      </c>
      <c r="F37" s="2">
        <v>12</v>
      </c>
      <c r="G37" s="2">
        <v>0.2</v>
      </c>
      <c r="H37" s="3">
        <v>45429</v>
      </c>
      <c r="I37" s="2">
        <v>151.16</v>
      </c>
    </row>
    <row r="38" spans="1:9" ht="16.5" customHeight="1" thickBot="1" x14ac:dyDescent="0.4">
      <c r="A38" s="1" t="s">
        <v>9</v>
      </c>
      <c r="B38" s="1" t="s">
        <v>55</v>
      </c>
      <c r="C38" s="1" t="s">
        <v>18</v>
      </c>
      <c r="D38" s="1" t="s">
        <v>39</v>
      </c>
      <c r="E38" s="2">
        <v>840.92</v>
      </c>
      <c r="F38" s="2">
        <v>9</v>
      </c>
      <c r="G38" s="2">
        <v>0.05</v>
      </c>
      <c r="H38" s="3">
        <v>45429</v>
      </c>
      <c r="I38" s="2">
        <v>359.49</v>
      </c>
    </row>
    <row r="39" spans="1:9" ht="16.5" customHeight="1" thickBot="1" x14ac:dyDescent="0.4">
      <c r="A39" s="1" t="s">
        <v>52</v>
      </c>
      <c r="B39" s="1" t="s">
        <v>48</v>
      </c>
      <c r="C39" s="1" t="s">
        <v>34</v>
      </c>
      <c r="D39" s="1" t="s">
        <v>27</v>
      </c>
      <c r="E39" s="2">
        <v>1410.06</v>
      </c>
      <c r="F39" s="2">
        <v>11</v>
      </c>
      <c r="G39" s="2">
        <v>0.05</v>
      </c>
      <c r="H39" s="3">
        <v>45434</v>
      </c>
      <c r="I39" s="2">
        <v>468.84</v>
      </c>
    </row>
    <row r="40" spans="1:9" ht="16.5" customHeight="1" thickBot="1" x14ac:dyDescent="0.4">
      <c r="A40" s="1" t="s">
        <v>44</v>
      </c>
      <c r="B40" s="1" t="s">
        <v>59</v>
      </c>
      <c r="C40" s="1" t="s">
        <v>34</v>
      </c>
      <c r="D40" s="1" t="s">
        <v>27</v>
      </c>
      <c r="E40" s="2">
        <v>773.09</v>
      </c>
      <c r="F40" s="2">
        <v>13</v>
      </c>
      <c r="G40" s="2">
        <v>0.15</v>
      </c>
      <c r="H40" s="3">
        <v>45434</v>
      </c>
      <c r="I40" s="2">
        <v>229.99</v>
      </c>
    </row>
    <row r="41" spans="1:9" ht="16.5" customHeight="1" thickBot="1" x14ac:dyDescent="0.4">
      <c r="A41" s="1" t="s">
        <v>60</v>
      </c>
      <c r="B41" s="1" t="s">
        <v>61</v>
      </c>
      <c r="C41" s="1" t="s">
        <v>18</v>
      </c>
      <c r="D41" s="1" t="s">
        <v>12</v>
      </c>
      <c r="E41" s="2">
        <v>580.42999999999995</v>
      </c>
      <c r="F41" s="2">
        <v>19</v>
      </c>
      <c r="G41" s="2">
        <v>0.15</v>
      </c>
      <c r="H41" s="3">
        <v>45435</v>
      </c>
      <c r="I41" s="2">
        <v>197.35</v>
      </c>
    </row>
    <row r="42" spans="1:9" ht="16.5" customHeight="1" thickBot="1" x14ac:dyDescent="0.4">
      <c r="A42" s="1" t="s">
        <v>19</v>
      </c>
      <c r="B42" s="1" t="s">
        <v>42</v>
      </c>
      <c r="C42" s="1" t="s">
        <v>20</v>
      </c>
      <c r="D42" s="1" t="s">
        <v>12</v>
      </c>
      <c r="E42" s="2">
        <v>1151.21</v>
      </c>
      <c r="F42" s="2">
        <v>15</v>
      </c>
      <c r="G42" s="2">
        <v>0.1</v>
      </c>
      <c r="H42" s="3">
        <v>45445</v>
      </c>
      <c r="I42" s="2">
        <v>414.44</v>
      </c>
    </row>
    <row r="43" spans="1:9" ht="16.5" customHeight="1" thickBot="1" x14ac:dyDescent="0.4">
      <c r="A43" s="1" t="s">
        <v>52</v>
      </c>
      <c r="B43" s="1" t="s">
        <v>23</v>
      </c>
      <c r="C43" s="1" t="s">
        <v>34</v>
      </c>
      <c r="D43" s="1" t="s">
        <v>39</v>
      </c>
      <c r="E43" s="2">
        <v>1025.98</v>
      </c>
      <c r="F43" s="2">
        <v>5</v>
      </c>
      <c r="G43" s="2">
        <v>0.2</v>
      </c>
      <c r="H43" s="3">
        <v>45447</v>
      </c>
      <c r="I43" s="2">
        <v>369.35</v>
      </c>
    </row>
    <row r="44" spans="1:9" ht="16.5" customHeight="1" thickBot="1" x14ac:dyDescent="0.4">
      <c r="A44" s="1" t="s">
        <v>40</v>
      </c>
      <c r="B44" s="1" t="s">
        <v>56</v>
      </c>
      <c r="C44" s="1" t="s">
        <v>18</v>
      </c>
      <c r="D44" s="1" t="s">
        <v>39</v>
      </c>
      <c r="E44" s="2">
        <v>556.41999999999996</v>
      </c>
      <c r="F44" s="2">
        <v>11</v>
      </c>
      <c r="G44" s="2">
        <v>0.15</v>
      </c>
      <c r="H44" s="3">
        <v>45447</v>
      </c>
      <c r="I44" s="2">
        <v>212.83</v>
      </c>
    </row>
    <row r="45" spans="1:9" ht="16.5" customHeight="1" thickBot="1" x14ac:dyDescent="0.4">
      <c r="A45" s="1" t="s">
        <v>57</v>
      </c>
      <c r="B45" s="1" t="s">
        <v>23</v>
      </c>
      <c r="C45" s="1" t="s">
        <v>34</v>
      </c>
      <c r="D45" s="1" t="s">
        <v>12</v>
      </c>
      <c r="E45" s="2">
        <v>840.85</v>
      </c>
      <c r="F45" s="2">
        <v>19</v>
      </c>
      <c r="G45" s="2">
        <v>0.1</v>
      </c>
      <c r="H45" s="3">
        <v>45448</v>
      </c>
      <c r="I45" s="2">
        <v>302.70999999999998</v>
      </c>
    </row>
    <row r="46" spans="1:9" ht="16.5" customHeight="1" thickBot="1" x14ac:dyDescent="0.4">
      <c r="A46" s="1" t="s">
        <v>30</v>
      </c>
      <c r="B46" s="1" t="s">
        <v>61</v>
      </c>
      <c r="C46" s="1" t="s">
        <v>24</v>
      </c>
      <c r="D46" s="1" t="s">
        <v>27</v>
      </c>
      <c r="E46" s="2">
        <v>1227.25</v>
      </c>
      <c r="F46" s="2">
        <v>12</v>
      </c>
      <c r="G46" s="2">
        <v>0.15</v>
      </c>
      <c r="H46" s="3">
        <v>45448</v>
      </c>
      <c r="I46" s="2">
        <v>365.11</v>
      </c>
    </row>
    <row r="47" spans="1:9" ht="16.5" customHeight="1" thickBot="1" x14ac:dyDescent="0.4">
      <c r="A47" s="1" t="s">
        <v>16</v>
      </c>
      <c r="B47" s="1" t="s">
        <v>62</v>
      </c>
      <c r="C47" s="1" t="s">
        <v>34</v>
      </c>
      <c r="D47" s="1" t="s">
        <v>21</v>
      </c>
      <c r="E47" s="2">
        <v>856.7</v>
      </c>
      <c r="F47" s="2">
        <v>2</v>
      </c>
      <c r="G47" s="2">
        <v>0</v>
      </c>
      <c r="H47" s="3">
        <v>45449</v>
      </c>
      <c r="I47" s="2">
        <v>214.18</v>
      </c>
    </row>
    <row r="48" spans="1:9" ht="16.5" customHeight="1" thickBot="1" x14ac:dyDescent="0.4">
      <c r="A48" s="1" t="s">
        <v>54</v>
      </c>
      <c r="B48" s="1" t="s">
        <v>56</v>
      </c>
      <c r="C48" s="1" t="s">
        <v>34</v>
      </c>
      <c r="D48" s="1" t="s">
        <v>39</v>
      </c>
      <c r="E48" s="2">
        <v>1225.42</v>
      </c>
      <c r="F48" s="2">
        <v>8</v>
      </c>
      <c r="G48" s="2">
        <v>0.15</v>
      </c>
      <c r="H48" s="3">
        <v>45449</v>
      </c>
      <c r="I48" s="2">
        <v>468.72</v>
      </c>
    </row>
    <row r="49" spans="1:9" ht="16.5" customHeight="1" thickBot="1" x14ac:dyDescent="0.4">
      <c r="A49" s="1" t="s">
        <v>63</v>
      </c>
      <c r="B49" s="1" t="s">
        <v>31</v>
      </c>
      <c r="C49" s="1" t="s">
        <v>24</v>
      </c>
      <c r="D49" s="1" t="s">
        <v>39</v>
      </c>
      <c r="E49" s="2">
        <v>1001.57</v>
      </c>
      <c r="F49" s="2">
        <v>12</v>
      </c>
      <c r="G49" s="2">
        <v>0</v>
      </c>
      <c r="H49" s="3">
        <v>45450</v>
      </c>
      <c r="I49" s="2">
        <v>450.71</v>
      </c>
    </row>
    <row r="50" spans="1:9" ht="16.5" customHeight="1" thickBot="1" x14ac:dyDescent="0.4">
      <c r="A50" s="1" t="s">
        <v>57</v>
      </c>
      <c r="B50" s="1" t="s">
        <v>26</v>
      </c>
      <c r="C50" s="1" t="s">
        <v>18</v>
      </c>
      <c r="D50" s="1" t="s">
        <v>27</v>
      </c>
      <c r="E50" s="2">
        <v>1186.8499999999999</v>
      </c>
      <c r="F50" s="2">
        <v>19</v>
      </c>
      <c r="G50" s="2">
        <v>0.2</v>
      </c>
      <c r="H50" s="3">
        <v>45451</v>
      </c>
      <c r="I50" s="2">
        <v>332.32</v>
      </c>
    </row>
    <row r="51" spans="1:9" ht="16.5" customHeight="1" thickBot="1" x14ac:dyDescent="0.4">
      <c r="A51" s="1" t="s">
        <v>44</v>
      </c>
      <c r="B51" s="1" t="s">
        <v>51</v>
      </c>
      <c r="C51" s="1" t="s">
        <v>20</v>
      </c>
      <c r="D51" s="1" t="s">
        <v>21</v>
      </c>
      <c r="E51" s="2">
        <v>775.45</v>
      </c>
      <c r="F51" s="2">
        <v>6</v>
      </c>
      <c r="G51" s="2">
        <v>0.1</v>
      </c>
      <c r="H51" s="3">
        <v>45457</v>
      </c>
      <c r="I51" s="2">
        <v>174.48</v>
      </c>
    </row>
    <row r="52" spans="1:9" ht="16.5" customHeight="1" thickBot="1" x14ac:dyDescent="0.4">
      <c r="A52" s="1" t="s">
        <v>25</v>
      </c>
      <c r="B52" s="1" t="s">
        <v>33</v>
      </c>
      <c r="C52" s="1" t="s">
        <v>20</v>
      </c>
      <c r="D52" s="1" t="s">
        <v>21</v>
      </c>
      <c r="E52" s="2">
        <v>1021.47</v>
      </c>
      <c r="F52" s="2">
        <v>6</v>
      </c>
      <c r="G52" s="2">
        <v>0.05</v>
      </c>
      <c r="H52" s="3">
        <v>45461</v>
      </c>
      <c r="I52" s="2">
        <v>242.6</v>
      </c>
    </row>
    <row r="53" spans="1:9" ht="16.5" customHeight="1" thickBot="1" x14ac:dyDescent="0.4">
      <c r="A53" s="1" t="s">
        <v>58</v>
      </c>
      <c r="B53" s="1" t="s">
        <v>23</v>
      </c>
      <c r="C53" s="1" t="s">
        <v>20</v>
      </c>
      <c r="D53" s="1" t="s">
        <v>15</v>
      </c>
      <c r="E53" s="2">
        <v>1226.6199999999999</v>
      </c>
      <c r="F53" s="2">
        <v>7</v>
      </c>
      <c r="G53" s="2">
        <v>0.1</v>
      </c>
      <c r="H53" s="3">
        <v>45463</v>
      </c>
      <c r="I53" s="2">
        <v>551.98</v>
      </c>
    </row>
    <row r="54" spans="1:9" ht="16.5" customHeight="1" thickBot="1" x14ac:dyDescent="0.4">
      <c r="A54" s="1" t="s">
        <v>22</v>
      </c>
      <c r="B54" s="1" t="s">
        <v>64</v>
      </c>
      <c r="C54" s="1" t="s">
        <v>20</v>
      </c>
      <c r="D54" s="1" t="s">
        <v>27</v>
      </c>
      <c r="E54" s="2">
        <v>1086.93</v>
      </c>
      <c r="F54" s="2">
        <v>2</v>
      </c>
      <c r="G54" s="2">
        <v>0</v>
      </c>
      <c r="H54" s="3">
        <v>45464</v>
      </c>
      <c r="I54" s="2">
        <v>380.43</v>
      </c>
    </row>
    <row r="55" spans="1:9" ht="16.5" customHeight="1" thickBot="1" x14ac:dyDescent="0.4">
      <c r="A55" s="1" t="s">
        <v>65</v>
      </c>
      <c r="B55" s="1" t="s">
        <v>48</v>
      </c>
      <c r="C55" s="1" t="s">
        <v>11</v>
      </c>
      <c r="D55" s="1" t="s">
        <v>12</v>
      </c>
      <c r="E55" s="2">
        <v>942.9</v>
      </c>
      <c r="F55" s="2">
        <v>18</v>
      </c>
      <c r="G55" s="2">
        <v>0.1</v>
      </c>
      <c r="H55" s="3">
        <v>45466</v>
      </c>
      <c r="I55" s="2">
        <v>339.44</v>
      </c>
    </row>
    <row r="56" spans="1:9" ht="16.5" customHeight="1" thickBot="1" x14ac:dyDescent="0.4">
      <c r="A56" s="1" t="s">
        <v>32</v>
      </c>
      <c r="B56" s="1" t="s">
        <v>38</v>
      </c>
      <c r="C56" s="1" t="s">
        <v>24</v>
      </c>
      <c r="D56" s="1" t="s">
        <v>21</v>
      </c>
      <c r="E56" s="2">
        <v>818.8</v>
      </c>
      <c r="F56" s="2">
        <v>15</v>
      </c>
      <c r="G56" s="2">
        <v>0.15</v>
      </c>
      <c r="H56" s="3">
        <v>45468</v>
      </c>
      <c r="I56" s="2">
        <v>173.99</v>
      </c>
    </row>
    <row r="57" spans="1:9" ht="16.5" customHeight="1" thickBot="1" x14ac:dyDescent="0.4">
      <c r="A57" s="1" t="s">
        <v>19</v>
      </c>
      <c r="B57" s="1" t="s">
        <v>14</v>
      </c>
      <c r="C57" s="1" t="s">
        <v>20</v>
      </c>
      <c r="D57" s="1" t="s">
        <v>27</v>
      </c>
      <c r="E57" s="2">
        <v>919.04</v>
      </c>
      <c r="F57" s="2">
        <v>10</v>
      </c>
      <c r="G57" s="2">
        <v>0.2</v>
      </c>
      <c r="H57" s="3">
        <v>45468</v>
      </c>
      <c r="I57" s="2">
        <v>257.33</v>
      </c>
    </row>
    <row r="58" spans="1:9" ht="16.5" customHeight="1" thickBot="1" x14ac:dyDescent="0.4">
      <c r="A58" s="1" t="s">
        <v>22</v>
      </c>
      <c r="B58" s="1" t="s">
        <v>66</v>
      </c>
      <c r="C58" s="1" t="s">
        <v>34</v>
      </c>
      <c r="D58" s="1" t="s">
        <v>12</v>
      </c>
      <c r="E58" s="2">
        <v>973.26</v>
      </c>
      <c r="F58" s="2">
        <v>11</v>
      </c>
      <c r="G58" s="2">
        <v>0</v>
      </c>
      <c r="H58" s="3">
        <v>45470</v>
      </c>
      <c r="I58" s="2">
        <v>389.3</v>
      </c>
    </row>
    <row r="59" spans="1:9" ht="16.5" customHeight="1" thickBot="1" x14ac:dyDescent="0.4">
      <c r="A59" s="1" t="s">
        <v>41</v>
      </c>
      <c r="B59" s="1" t="s">
        <v>64</v>
      </c>
      <c r="C59" s="1" t="s">
        <v>24</v>
      </c>
      <c r="D59" s="1" t="s">
        <v>21</v>
      </c>
      <c r="E59" s="2">
        <v>741.61</v>
      </c>
      <c r="F59" s="2">
        <v>1</v>
      </c>
      <c r="G59" s="2">
        <v>0.2</v>
      </c>
      <c r="H59" s="3">
        <v>45471</v>
      </c>
      <c r="I59" s="2">
        <v>148.32</v>
      </c>
    </row>
    <row r="60" spans="1:9" ht="16.5" customHeight="1" thickBot="1" x14ac:dyDescent="0.4">
      <c r="A60" s="1" t="s">
        <v>67</v>
      </c>
      <c r="B60" s="1" t="s">
        <v>38</v>
      </c>
      <c r="C60" s="1" t="s">
        <v>24</v>
      </c>
      <c r="D60" s="1" t="s">
        <v>12</v>
      </c>
      <c r="E60" s="2">
        <v>1248.82</v>
      </c>
      <c r="F60" s="2">
        <v>2</v>
      </c>
      <c r="G60" s="2">
        <v>0.1</v>
      </c>
      <c r="H60" s="3">
        <v>45473</v>
      </c>
      <c r="I60" s="2">
        <v>449.58</v>
      </c>
    </row>
    <row r="61" spans="1:9" ht="16.5" customHeight="1" thickBot="1" x14ac:dyDescent="0.4">
      <c r="A61" s="1" t="s">
        <v>13</v>
      </c>
      <c r="B61" s="1" t="s">
        <v>59</v>
      </c>
      <c r="C61" s="1" t="s">
        <v>11</v>
      </c>
      <c r="D61" s="1" t="s">
        <v>15</v>
      </c>
      <c r="E61" s="2">
        <v>1360.36</v>
      </c>
      <c r="F61" s="2">
        <v>17</v>
      </c>
      <c r="G61" s="2">
        <v>0</v>
      </c>
      <c r="H61" s="3">
        <v>45473</v>
      </c>
      <c r="I61" s="2">
        <v>680.18</v>
      </c>
    </row>
    <row r="62" spans="1:9" ht="16.5" customHeight="1" thickBot="1" x14ac:dyDescent="0.4">
      <c r="A62" s="1" t="s">
        <v>57</v>
      </c>
      <c r="B62" s="1" t="s">
        <v>31</v>
      </c>
      <c r="C62" s="1" t="s">
        <v>18</v>
      </c>
      <c r="D62" s="1" t="s">
        <v>12</v>
      </c>
      <c r="E62" s="2">
        <v>1383.3</v>
      </c>
      <c r="F62" s="2">
        <v>8</v>
      </c>
      <c r="G62" s="2">
        <v>0.1</v>
      </c>
      <c r="H62" s="3">
        <v>45478</v>
      </c>
      <c r="I62" s="2">
        <v>497.99</v>
      </c>
    </row>
    <row r="63" spans="1:9" ht="16.5" customHeight="1" thickBot="1" x14ac:dyDescent="0.4">
      <c r="A63" s="1" t="s">
        <v>35</v>
      </c>
      <c r="B63" s="1" t="s">
        <v>55</v>
      </c>
      <c r="C63" s="1" t="s">
        <v>34</v>
      </c>
      <c r="D63" s="1" t="s">
        <v>39</v>
      </c>
      <c r="E63" s="2">
        <v>488.99</v>
      </c>
      <c r="F63" s="2">
        <v>9</v>
      </c>
      <c r="G63" s="2">
        <v>0</v>
      </c>
      <c r="H63" s="3">
        <v>45479</v>
      </c>
      <c r="I63" s="2">
        <v>220.05</v>
      </c>
    </row>
    <row r="64" spans="1:9" ht="16.5" customHeight="1" thickBot="1" x14ac:dyDescent="0.4">
      <c r="A64" s="1" t="s">
        <v>30</v>
      </c>
      <c r="B64" s="1" t="s">
        <v>31</v>
      </c>
      <c r="C64" s="1" t="s">
        <v>18</v>
      </c>
      <c r="D64" s="1" t="s">
        <v>27</v>
      </c>
      <c r="E64" s="2">
        <v>933.71</v>
      </c>
      <c r="F64" s="2">
        <v>17</v>
      </c>
      <c r="G64" s="2">
        <v>0.1</v>
      </c>
      <c r="H64" s="3">
        <v>45481</v>
      </c>
      <c r="I64" s="2">
        <v>294.12</v>
      </c>
    </row>
    <row r="65" spans="1:9" ht="16.5" customHeight="1" thickBot="1" x14ac:dyDescent="0.4">
      <c r="A65" s="1" t="s">
        <v>67</v>
      </c>
      <c r="B65" s="1" t="s">
        <v>10</v>
      </c>
      <c r="C65" s="1" t="s">
        <v>11</v>
      </c>
      <c r="D65" s="1" t="s">
        <v>21</v>
      </c>
      <c r="E65" s="2">
        <v>1005.53</v>
      </c>
      <c r="F65" s="2">
        <v>17</v>
      </c>
      <c r="G65" s="2">
        <v>0.2</v>
      </c>
      <c r="H65" s="3">
        <v>45481</v>
      </c>
      <c r="I65" s="2">
        <v>201.11</v>
      </c>
    </row>
    <row r="66" spans="1:9" ht="16.5" customHeight="1" thickBot="1" x14ac:dyDescent="0.4">
      <c r="A66" s="1" t="s">
        <v>41</v>
      </c>
      <c r="B66" s="1" t="s">
        <v>61</v>
      </c>
      <c r="C66" s="1" t="s">
        <v>20</v>
      </c>
      <c r="D66" s="1" t="s">
        <v>21</v>
      </c>
      <c r="E66" s="2">
        <v>1100.0999999999999</v>
      </c>
      <c r="F66" s="2">
        <v>5</v>
      </c>
      <c r="G66" s="2">
        <v>0.05</v>
      </c>
      <c r="H66" s="3">
        <v>45482</v>
      </c>
      <c r="I66" s="2">
        <v>261.27</v>
      </c>
    </row>
    <row r="67" spans="1:9" ht="16.5" customHeight="1" thickBot="1" x14ac:dyDescent="0.4">
      <c r="A67" s="1" t="s">
        <v>67</v>
      </c>
      <c r="B67" s="1" t="s">
        <v>23</v>
      </c>
      <c r="C67" s="1" t="s">
        <v>24</v>
      </c>
      <c r="D67" s="1" t="s">
        <v>27</v>
      </c>
      <c r="E67" s="2">
        <v>1034.7</v>
      </c>
      <c r="F67" s="2">
        <v>15</v>
      </c>
      <c r="G67" s="2">
        <v>0.15</v>
      </c>
      <c r="H67" s="3">
        <v>45487</v>
      </c>
      <c r="I67" s="2">
        <v>307.82</v>
      </c>
    </row>
    <row r="68" spans="1:9" ht="16.5" customHeight="1" thickBot="1" x14ac:dyDescent="0.4">
      <c r="A68" s="1" t="s">
        <v>65</v>
      </c>
      <c r="B68" s="1" t="s">
        <v>31</v>
      </c>
      <c r="C68" s="1" t="s">
        <v>20</v>
      </c>
      <c r="D68" s="1" t="s">
        <v>12</v>
      </c>
      <c r="E68" s="2">
        <v>876.44</v>
      </c>
      <c r="F68" s="2">
        <v>12</v>
      </c>
      <c r="G68" s="2">
        <v>0.05</v>
      </c>
      <c r="H68" s="3">
        <v>45488</v>
      </c>
      <c r="I68" s="2">
        <v>333.05</v>
      </c>
    </row>
    <row r="69" spans="1:9" ht="16.5" customHeight="1" thickBot="1" x14ac:dyDescent="0.4">
      <c r="A69" s="1" t="s">
        <v>68</v>
      </c>
      <c r="B69" s="1" t="s">
        <v>55</v>
      </c>
      <c r="C69" s="1" t="s">
        <v>11</v>
      </c>
      <c r="D69" s="1" t="s">
        <v>27</v>
      </c>
      <c r="E69" s="2">
        <v>1371.34</v>
      </c>
      <c r="F69" s="2">
        <v>5</v>
      </c>
      <c r="G69" s="2">
        <v>0.05</v>
      </c>
      <c r="H69" s="3">
        <v>45488</v>
      </c>
      <c r="I69" s="2">
        <v>455.97</v>
      </c>
    </row>
    <row r="70" spans="1:9" ht="16.5" customHeight="1" thickBot="1" x14ac:dyDescent="0.4">
      <c r="A70" s="1" t="s">
        <v>57</v>
      </c>
      <c r="B70" s="1" t="s">
        <v>47</v>
      </c>
      <c r="C70" s="1" t="s">
        <v>24</v>
      </c>
      <c r="D70" s="1" t="s">
        <v>21</v>
      </c>
      <c r="E70" s="2">
        <v>1020.26</v>
      </c>
      <c r="F70" s="2">
        <v>11</v>
      </c>
      <c r="G70" s="2">
        <v>0.05</v>
      </c>
      <c r="H70" s="3">
        <v>45494</v>
      </c>
      <c r="I70" s="2">
        <v>242.31</v>
      </c>
    </row>
    <row r="71" spans="1:9" ht="16.5" customHeight="1" thickBot="1" x14ac:dyDescent="0.4">
      <c r="A71" s="1" t="s">
        <v>44</v>
      </c>
      <c r="B71" s="1" t="s">
        <v>10</v>
      </c>
      <c r="C71" s="1" t="s">
        <v>34</v>
      </c>
      <c r="D71" s="1" t="s">
        <v>39</v>
      </c>
      <c r="E71" s="2">
        <v>804.81</v>
      </c>
      <c r="F71" s="2">
        <v>1</v>
      </c>
      <c r="G71" s="2">
        <v>0.05</v>
      </c>
      <c r="H71" s="3">
        <v>45502</v>
      </c>
      <c r="I71" s="2">
        <v>344.06</v>
      </c>
    </row>
    <row r="72" spans="1:9" ht="16.5" customHeight="1" thickBot="1" x14ac:dyDescent="0.4">
      <c r="A72" s="1" t="s">
        <v>22</v>
      </c>
      <c r="B72" s="1" t="s">
        <v>55</v>
      </c>
      <c r="C72" s="1" t="s">
        <v>34</v>
      </c>
      <c r="D72" s="1" t="s">
        <v>21</v>
      </c>
      <c r="E72" s="2">
        <v>608.66</v>
      </c>
      <c r="F72" s="2">
        <v>1</v>
      </c>
      <c r="G72" s="2">
        <v>0.05</v>
      </c>
      <c r="H72" s="3">
        <v>45503</v>
      </c>
      <c r="I72" s="2">
        <v>144.56</v>
      </c>
    </row>
    <row r="73" spans="1:9" ht="16.5" customHeight="1" thickBot="1" x14ac:dyDescent="0.4">
      <c r="A73" s="1" t="s">
        <v>68</v>
      </c>
      <c r="B73" s="1" t="s">
        <v>69</v>
      </c>
      <c r="C73" s="1" t="s">
        <v>20</v>
      </c>
      <c r="D73" s="1" t="s">
        <v>39</v>
      </c>
      <c r="E73" s="2">
        <v>981.2</v>
      </c>
      <c r="F73" s="2">
        <v>19</v>
      </c>
      <c r="G73" s="2">
        <v>0</v>
      </c>
      <c r="H73" s="3">
        <v>45504</v>
      </c>
      <c r="I73" s="2">
        <v>441.54</v>
      </c>
    </row>
    <row r="74" spans="1:9" ht="16.5" customHeight="1" thickBot="1" x14ac:dyDescent="0.4">
      <c r="A74" s="1" t="s">
        <v>70</v>
      </c>
      <c r="B74" s="1" t="s">
        <v>55</v>
      </c>
      <c r="C74" s="1" t="s">
        <v>18</v>
      </c>
      <c r="D74" s="1" t="s">
        <v>21</v>
      </c>
      <c r="E74" s="2">
        <v>539.77</v>
      </c>
      <c r="F74" s="2">
        <v>10</v>
      </c>
      <c r="G74" s="2">
        <v>0.15</v>
      </c>
      <c r="H74" s="3">
        <v>45509</v>
      </c>
      <c r="I74" s="2">
        <v>114.7</v>
      </c>
    </row>
    <row r="75" spans="1:9" ht="16.5" customHeight="1" thickBot="1" x14ac:dyDescent="0.4">
      <c r="A75" s="1" t="s">
        <v>13</v>
      </c>
      <c r="B75" s="1" t="s">
        <v>71</v>
      </c>
      <c r="C75" s="1" t="s">
        <v>20</v>
      </c>
      <c r="D75" s="1" t="s">
        <v>12</v>
      </c>
      <c r="E75" s="2">
        <v>804.45</v>
      </c>
      <c r="F75" s="2">
        <v>5</v>
      </c>
      <c r="G75" s="2">
        <v>0.2</v>
      </c>
      <c r="H75" s="3">
        <v>45509</v>
      </c>
      <c r="I75" s="2">
        <v>257.42</v>
      </c>
    </row>
    <row r="76" spans="1:9" ht="16.5" customHeight="1" thickBot="1" x14ac:dyDescent="0.4">
      <c r="A76" s="1" t="s">
        <v>70</v>
      </c>
      <c r="B76" s="1" t="s">
        <v>38</v>
      </c>
      <c r="C76" s="1" t="s">
        <v>11</v>
      </c>
      <c r="D76" s="1" t="s">
        <v>21</v>
      </c>
      <c r="E76" s="2">
        <v>1526.6</v>
      </c>
      <c r="F76" s="2">
        <v>13</v>
      </c>
      <c r="G76" s="2">
        <v>0.2</v>
      </c>
      <c r="H76" s="3">
        <v>45512</v>
      </c>
      <c r="I76" s="2">
        <v>305.32</v>
      </c>
    </row>
    <row r="77" spans="1:9" ht="16.5" customHeight="1" thickBot="1" x14ac:dyDescent="0.4">
      <c r="A77" s="1" t="s">
        <v>13</v>
      </c>
      <c r="B77" s="1" t="s">
        <v>29</v>
      </c>
      <c r="C77" s="1" t="s">
        <v>11</v>
      </c>
      <c r="D77" s="1" t="s">
        <v>21</v>
      </c>
      <c r="E77" s="2">
        <v>1215.26</v>
      </c>
      <c r="F77" s="2">
        <v>5</v>
      </c>
      <c r="G77" s="2">
        <v>0.15</v>
      </c>
      <c r="H77" s="3">
        <v>45513</v>
      </c>
      <c r="I77" s="2">
        <v>258.24</v>
      </c>
    </row>
    <row r="78" spans="1:9" ht="16.5" customHeight="1" thickBot="1" x14ac:dyDescent="0.4">
      <c r="A78" s="1" t="s">
        <v>19</v>
      </c>
      <c r="B78" s="1" t="s">
        <v>53</v>
      </c>
      <c r="C78" s="1" t="s">
        <v>34</v>
      </c>
      <c r="D78" s="1" t="s">
        <v>27</v>
      </c>
      <c r="E78" s="2">
        <v>1261.3399999999999</v>
      </c>
      <c r="F78" s="2">
        <v>3</v>
      </c>
      <c r="G78" s="2">
        <v>0</v>
      </c>
      <c r="H78" s="3">
        <v>45519</v>
      </c>
      <c r="I78" s="2">
        <v>441.47</v>
      </c>
    </row>
    <row r="79" spans="1:9" ht="16.5" customHeight="1" thickBot="1" x14ac:dyDescent="0.4">
      <c r="A79" s="1" t="s">
        <v>72</v>
      </c>
      <c r="B79" s="1" t="s">
        <v>45</v>
      </c>
      <c r="C79" s="1" t="s">
        <v>24</v>
      </c>
      <c r="D79" s="1" t="s">
        <v>27</v>
      </c>
      <c r="E79" s="2">
        <v>518.07000000000005</v>
      </c>
      <c r="F79" s="2">
        <v>7</v>
      </c>
      <c r="G79" s="2">
        <v>0.05</v>
      </c>
      <c r="H79" s="3">
        <v>45522</v>
      </c>
      <c r="I79" s="2">
        <v>172.26</v>
      </c>
    </row>
    <row r="80" spans="1:9" ht="16.5" customHeight="1" thickBot="1" x14ac:dyDescent="0.4">
      <c r="A80" s="1" t="s">
        <v>30</v>
      </c>
      <c r="B80" s="1" t="s">
        <v>29</v>
      </c>
      <c r="C80" s="1" t="s">
        <v>11</v>
      </c>
      <c r="D80" s="1" t="s">
        <v>39</v>
      </c>
      <c r="E80" s="2">
        <v>1111.3399999999999</v>
      </c>
      <c r="F80" s="2">
        <v>1</v>
      </c>
      <c r="G80" s="2">
        <v>0</v>
      </c>
      <c r="H80" s="3">
        <v>45523</v>
      </c>
      <c r="I80" s="2">
        <v>500.1</v>
      </c>
    </row>
    <row r="81" spans="1:9" ht="16.5" customHeight="1" thickBot="1" x14ac:dyDescent="0.4">
      <c r="A81" s="1" t="s">
        <v>22</v>
      </c>
      <c r="B81" s="1" t="s">
        <v>31</v>
      </c>
      <c r="C81" s="1" t="s">
        <v>18</v>
      </c>
      <c r="D81" s="1" t="s">
        <v>15</v>
      </c>
      <c r="E81" s="2">
        <v>1291.47</v>
      </c>
      <c r="F81" s="2">
        <v>18</v>
      </c>
      <c r="G81" s="2">
        <v>0.1</v>
      </c>
      <c r="H81" s="3">
        <v>45526</v>
      </c>
      <c r="I81" s="2">
        <v>581.16</v>
      </c>
    </row>
    <row r="82" spans="1:9" ht="16.5" customHeight="1" thickBot="1" x14ac:dyDescent="0.4">
      <c r="A82" s="1" t="s">
        <v>25</v>
      </c>
      <c r="B82" s="1" t="s">
        <v>55</v>
      </c>
      <c r="C82" s="1" t="s">
        <v>24</v>
      </c>
      <c r="D82" s="1" t="s">
        <v>12</v>
      </c>
      <c r="E82" s="2">
        <v>679.71</v>
      </c>
      <c r="F82" s="2">
        <v>19</v>
      </c>
      <c r="G82" s="2">
        <v>0</v>
      </c>
      <c r="H82" s="3">
        <v>45534</v>
      </c>
      <c r="I82" s="2">
        <v>271.88</v>
      </c>
    </row>
    <row r="83" spans="1:9" ht="16.5" customHeight="1" thickBot="1" x14ac:dyDescent="0.4">
      <c r="A83" s="1" t="s">
        <v>68</v>
      </c>
      <c r="B83" s="1" t="s">
        <v>33</v>
      </c>
      <c r="C83" s="1" t="s">
        <v>18</v>
      </c>
      <c r="D83" s="1" t="s">
        <v>27</v>
      </c>
      <c r="E83" s="2">
        <v>1143.69</v>
      </c>
      <c r="F83" s="2">
        <v>17</v>
      </c>
      <c r="G83" s="2">
        <v>0</v>
      </c>
      <c r="H83" s="3">
        <v>45534</v>
      </c>
      <c r="I83" s="2">
        <v>400.29</v>
      </c>
    </row>
    <row r="84" spans="1:9" ht="16.5" customHeight="1" thickBot="1" x14ac:dyDescent="0.4">
      <c r="A84" s="1" t="s">
        <v>52</v>
      </c>
      <c r="B84" s="1" t="s">
        <v>50</v>
      </c>
      <c r="C84" s="1" t="s">
        <v>34</v>
      </c>
      <c r="D84" s="1" t="s">
        <v>21</v>
      </c>
      <c r="E84" s="2">
        <v>790.08</v>
      </c>
      <c r="F84" s="2">
        <v>7</v>
      </c>
      <c r="G84" s="2">
        <v>0.1</v>
      </c>
      <c r="H84" s="3">
        <v>45536</v>
      </c>
      <c r="I84" s="2">
        <v>177.77</v>
      </c>
    </row>
    <row r="85" spans="1:9" ht="16.5" customHeight="1" thickBot="1" x14ac:dyDescent="0.4">
      <c r="A85" s="1" t="s">
        <v>19</v>
      </c>
      <c r="B85" s="1" t="s">
        <v>48</v>
      </c>
      <c r="C85" s="1" t="s">
        <v>34</v>
      </c>
      <c r="D85" s="1" t="s">
        <v>12</v>
      </c>
      <c r="E85" s="2">
        <v>1070.68</v>
      </c>
      <c r="F85" s="2">
        <v>7</v>
      </c>
      <c r="G85" s="2">
        <v>0.05</v>
      </c>
      <c r="H85" s="3">
        <v>45536</v>
      </c>
      <c r="I85" s="2">
        <v>406.86</v>
      </c>
    </row>
    <row r="86" spans="1:9" ht="16.5" customHeight="1" thickBot="1" x14ac:dyDescent="0.4">
      <c r="A86" s="1" t="s">
        <v>58</v>
      </c>
      <c r="B86" s="1" t="s">
        <v>36</v>
      </c>
      <c r="C86" s="1" t="s">
        <v>11</v>
      </c>
      <c r="D86" s="1" t="s">
        <v>15</v>
      </c>
      <c r="E86" s="2">
        <v>1168.8900000000001</v>
      </c>
      <c r="F86" s="2">
        <v>4</v>
      </c>
      <c r="G86" s="2">
        <v>0.1</v>
      </c>
      <c r="H86" s="3">
        <v>45544</v>
      </c>
      <c r="I86" s="2">
        <v>526</v>
      </c>
    </row>
    <row r="87" spans="1:9" ht="16.5" customHeight="1" thickBot="1" x14ac:dyDescent="0.4">
      <c r="A87" s="1" t="s">
        <v>67</v>
      </c>
      <c r="B87" s="1" t="s">
        <v>10</v>
      </c>
      <c r="C87" s="1" t="s">
        <v>20</v>
      </c>
      <c r="D87" s="1" t="s">
        <v>21</v>
      </c>
      <c r="E87" s="2">
        <v>1335.87</v>
      </c>
      <c r="F87" s="2">
        <v>17</v>
      </c>
      <c r="G87" s="2">
        <v>0</v>
      </c>
      <c r="H87" s="3">
        <v>45544</v>
      </c>
      <c r="I87" s="2">
        <v>333.97</v>
      </c>
    </row>
    <row r="88" spans="1:9" ht="16.5" customHeight="1" thickBot="1" x14ac:dyDescent="0.4">
      <c r="A88" s="1" t="s">
        <v>40</v>
      </c>
      <c r="B88" s="1" t="s">
        <v>55</v>
      </c>
      <c r="C88" s="1" t="s">
        <v>18</v>
      </c>
      <c r="D88" s="1" t="s">
        <v>27</v>
      </c>
      <c r="E88" s="2">
        <v>873.7</v>
      </c>
      <c r="F88" s="2">
        <v>9</v>
      </c>
      <c r="G88" s="2">
        <v>0</v>
      </c>
      <c r="H88" s="3">
        <v>45546</v>
      </c>
      <c r="I88" s="2">
        <v>305.8</v>
      </c>
    </row>
    <row r="89" spans="1:9" ht="16.5" customHeight="1" thickBot="1" x14ac:dyDescent="0.4">
      <c r="A89" s="1" t="s">
        <v>72</v>
      </c>
      <c r="B89" s="1" t="s">
        <v>64</v>
      </c>
      <c r="C89" s="1" t="s">
        <v>11</v>
      </c>
      <c r="D89" s="1" t="s">
        <v>39</v>
      </c>
      <c r="E89" s="2">
        <v>1443.98</v>
      </c>
      <c r="F89" s="2">
        <v>19</v>
      </c>
      <c r="G89" s="2">
        <v>0</v>
      </c>
      <c r="H89" s="3">
        <v>45547</v>
      </c>
      <c r="I89" s="2">
        <v>649.79</v>
      </c>
    </row>
    <row r="90" spans="1:9" ht="16.5" customHeight="1" thickBot="1" x14ac:dyDescent="0.4">
      <c r="A90" s="1" t="s">
        <v>40</v>
      </c>
      <c r="B90" s="1" t="s">
        <v>23</v>
      </c>
      <c r="C90" s="1" t="s">
        <v>18</v>
      </c>
      <c r="D90" s="1" t="s">
        <v>39</v>
      </c>
      <c r="E90" s="2">
        <v>1154.33</v>
      </c>
      <c r="F90" s="2">
        <v>11</v>
      </c>
      <c r="G90" s="2">
        <v>0.15</v>
      </c>
      <c r="H90" s="3">
        <v>45549</v>
      </c>
      <c r="I90" s="2">
        <v>441.53</v>
      </c>
    </row>
    <row r="91" spans="1:9" ht="16.5" customHeight="1" thickBot="1" x14ac:dyDescent="0.4">
      <c r="A91" s="1" t="s">
        <v>49</v>
      </c>
      <c r="B91" s="1" t="s">
        <v>50</v>
      </c>
      <c r="C91" s="1" t="s">
        <v>20</v>
      </c>
      <c r="D91" s="1" t="s">
        <v>12</v>
      </c>
      <c r="E91" s="2">
        <v>1264.49</v>
      </c>
      <c r="F91" s="2">
        <v>16</v>
      </c>
      <c r="G91" s="2">
        <v>0.05</v>
      </c>
      <c r="H91" s="3">
        <v>45549</v>
      </c>
      <c r="I91" s="2">
        <v>480.51</v>
      </c>
    </row>
    <row r="92" spans="1:9" ht="16.5" customHeight="1" thickBot="1" x14ac:dyDescent="0.4">
      <c r="A92" s="1" t="s">
        <v>25</v>
      </c>
      <c r="B92" s="1" t="s">
        <v>66</v>
      </c>
      <c r="C92" s="1" t="s">
        <v>11</v>
      </c>
      <c r="D92" s="1" t="s">
        <v>27</v>
      </c>
      <c r="E92" s="2">
        <v>1101.55</v>
      </c>
      <c r="F92" s="2">
        <v>4</v>
      </c>
      <c r="G92" s="2">
        <v>0.1</v>
      </c>
      <c r="H92" s="3">
        <v>45551</v>
      </c>
      <c r="I92" s="2">
        <v>346.99</v>
      </c>
    </row>
    <row r="93" spans="1:9" ht="16.5" customHeight="1" thickBot="1" x14ac:dyDescent="0.4">
      <c r="A93" s="1" t="s">
        <v>73</v>
      </c>
      <c r="B93" s="1" t="s">
        <v>14</v>
      </c>
      <c r="C93" s="1" t="s">
        <v>20</v>
      </c>
      <c r="D93" s="1" t="s">
        <v>27</v>
      </c>
      <c r="E93" s="2">
        <v>727.73</v>
      </c>
      <c r="F93" s="2">
        <v>1</v>
      </c>
      <c r="G93" s="2">
        <v>0.1</v>
      </c>
      <c r="H93" s="3">
        <v>45552</v>
      </c>
      <c r="I93" s="2">
        <v>229.23</v>
      </c>
    </row>
    <row r="94" spans="1:9" ht="16.5" customHeight="1" thickBot="1" x14ac:dyDescent="0.4">
      <c r="A94" s="1" t="s">
        <v>74</v>
      </c>
      <c r="B94" s="1" t="s">
        <v>38</v>
      </c>
      <c r="C94" s="1" t="s">
        <v>18</v>
      </c>
      <c r="D94" s="1" t="s">
        <v>39</v>
      </c>
      <c r="E94" s="2">
        <v>875.41</v>
      </c>
      <c r="F94" s="2">
        <v>13</v>
      </c>
      <c r="G94" s="2">
        <v>0.15</v>
      </c>
      <c r="H94" s="3">
        <v>45552</v>
      </c>
      <c r="I94" s="2">
        <v>334.84</v>
      </c>
    </row>
    <row r="95" spans="1:9" ht="16.5" customHeight="1" thickBot="1" x14ac:dyDescent="0.4">
      <c r="A95" s="1" t="s">
        <v>67</v>
      </c>
      <c r="B95" s="1" t="s">
        <v>23</v>
      </c>
      <c r="C95" s="1" t="s">
        <v>11</v>
      </c>
      <c r="D95" s="1" t="s">
        <v>21</v>
      </c>
      <c r="E95" s="2">
        <v>1158.94</v>
      </c>
      <c r="F95" s="2">
        <v>19</v>
      </c>
      <c r="G95" s="2">
        <v>0.2</v>
      </c>
      <c r="H95" s="3">
        <v>45553</v>
      </c>
      <c r="I95" s="2">
        <v>231.79</v>
      </c>
    </row>
    <row r="96" spans="1:9" ht="16.5" customHeight="1" thickBot="1" x14ac:dyDescent="0.4">
      <c r="A96" s="1" t="s">
        <v>75</v>
      </c>
      <c r="B96" s="1" t="s">
        <v>47</v>
      </c>
      <c r="C96" s="1" t="s">
        <v>20</v>
      </c>
      <c r="D96" s="1" t="s">
        <v>12</v>
      </c>
      <c r="E96" s="2">
        <v>966.3</v>
      </c>
      <c r="F96" s="2">
        <v>2</v>
      </c>
      <c r="G96" s="2">
        <v>0.15</v>
      </c>
      <c r="H96" s="3">
        <v>45557</v>
      </c>
      <c r="I96" s="2">
        <v>328.54</v>
      </c>
    </row>
    <row r="97" spans="1:9" ht="16.5" customHeight="1" thickBot="1" x14ac:dyDescent="0.4">
      <c r="A97" s="1" t="s">
        <v>68</v>
      </c>
      <c r="B97" s="1" t="s">
        <v>17</v>
      </c>
      <c r="C97" s="1" t="s">
        <v>20</v>
      </c>
      <c r="D97" s="1" t="s">
        <v>12</v>
      </c>
      <c r="E97" s="2">
        <v>917.48</v>
      </c>
      <c r="F97" s="2">
        <v>6</v>
      </c>
      <c r="G97" s="2">
        <v>0</v>
      </c>
      <c r="H97" s="3">
        <v>45558</v>
      </c>
      <c r="I97" s="2">
        <v>366.99</v>
      </c>
    </row>
    <row r="98" spans="1:9" ht="16.5" customHeight="1" thickBot="1" x14ac:dyDescent="0.4">
      <c r="A98" s="1" t="s">
        <v>41</v>
      </c>
      <c r="B98" s="1" t="s">
        <v>61</v>
      </c>
      <c r="C98" s="1" t="s">
        <v>11</v>
      </c>
      <c r="D98" s="1" t="s">
        <v>27</v>
      </c>
      <c r="E98" s="2">
        <v>1172.97</v>
      </c>
      <c r="F98" s="2">
        <v>7</v>
      </c>
      <c r="G98" s="2">
        <v>0.15</v>
      </c>
      <c r="H98" s="3">
        <v>45559</v>
      </c>
      <c r="I98" s="2">
        <v>348.96</v>
      </c>
    </row>
    <row r="99" spans="1:9" ht="16.5" customHeight="1" thickBot="1" x14ac:dyDescent="0.4">
      <c r="A99" s="1" t="s">
        <v>57</v>
      </c>
      <c r="B99" s="1" t="s">
        <v>23</v>
      </c>
      <c r="C99" s="1" t="s">
        <v>24</v>
      </c>
      <c r="D99" s="1" t="s">
        <v>15</v>
      </c>
      <c r="E99" s="2">
        <v>1205.82</v>
      </c>
      <c r="F99" s="2">
        <v>11</v>
      </c>
      <c r="G99" s="2">
        <v>0.1</v>
      </c>
      <c r="H99" s="3">
        <v>45559</v>
      </c>
      <c r="I99" s="2">
        <v>542.62</v>
      </c>
    </row>
    <row r="100" spans="1:9" ht="16.5" customHeight="1" thickBot="1" x14ac:dyDescent="0.4">
      <c r="A100" s="1" t="s">
        <v>16</v>
      </c>
      <c r="B100" s="1" t="s">
        <v>64</v>
      </c>
      <c r="C100" s="1" t="s">
        <v>11</v>
      </c>
      <c r="D100" s="1" t="s">
        <v>39</v>
      </c>
      <c r="E100" s="2">
        <v>826.93</v>
      </c>
      <c r="F100" s="2">
        <v>10</v>
      </c>
      <c r="G100" s="2">
        <v>0.2</v>
      </c>
      <c r="H100" s="3">
        <v>45564</v>
      </c>
      <c r="I100" s="2">
        <v>297.69</v>
      </c>
    </row>
    <row r="101" spans="1:9" ht="16.5" customHeight="1" thickBot="1" x14ac:dyDescent="0.4">
      <c r="A101" s="1" t="s">
        <v>67</v>
      </c>
      <c r="B101" s="1" t="s">
        <v>23</v>
      </c>
      <c r="C101" s="1" t="s">
        <v>34</v>
      </c>
      <c r="D101" s="1" t="s">
        <v>15</v>
      </c>
      <c r="E101" s="2">
        <v>902.19</v>
      </c>
      <c r="F101" s="2">
        <v>12</v>
      </c>
      <c r="G101" s="2">
        <v>0</v>
      </c>
      <c r="H101" s="3">
        <v>45564</v>
      </c>
      <c r="I101" s="2">
        <v>451.1</v>
      </c>
    </row>
    <row r="102" spans="1:9" ht="16.5" customHeight="1" thickBot="1" x14ac:dyDescent="0.4">
      <c r="A102" s="1" t="s">
        <v>74</v>
      </c>
      <c r="B102" s="1" t="s">
        <v>38</v>
      </c>
      <c r="C102" s="1" t="s">
        <v>24</v>
      </c>
      <c r="D102" s="1" t="s">
        <v>12</v>
      </c>
      <c r="E102" s="2">
        <v>585.97</v>
      </c>
      <c r="F102" s="2">
        <v>17</v>
      </c>
      <c r="G102" s="2">
        <v>0.1</v>
      </c>
      <c r="H102" s="3">
        <v>45565</v>
      </c>
      <c r="I102" s="2">
        <v>210.95</v>
      </c>
    </row>
    <row r="103" spans="1:9" ht="16.5" customHeight="1" thickBot="1" x14ac:dyDescent="0.4">
      <c r="A103" s="1" t="s">
        <v>60</v>
      </c>
      <c r="B103" s="1" t="s">
        <v>26</v>
      </c>
      <c r="C103" s="1" t="s">
        <v>24</v>
      </c>
      <c r="D103" s="1" t="s">
        <v>15</v>
      </c>
      <c r="E103" s="2">
        <v>990.19</v>
      </c>
      <c r="F103" s="2">
        <v>8</v>
      </c>
      <c r="G103" s="2">
        <v>0.1</v>
      </c>
      <c r="H103" s="3">
        <v>45565</v>
      </c>
      <c r="I103" s="2">
        <v>445.59</v>
      </c>
    </row>
    <row r="104" spans="1:9" ht="16.5" customHeight="1" thickBot="1" x14ac:dyDescent="0.4">
      <c r="A104" s="1" t="s">
        <v>44</v>
      </c>
      <c r="B104" s="1" t="s">
        <v>56</v>
      </c>
      <c r="C104" s="1" t="s">
        <v>34</v>
      </c>
      <c r="D104" s="1" t="s">
        <v>21</v>
      </c>
      <c r="E104" s="2">
        <v>1014.09</v>
      </c>
      <c r="F104" s="2">
        <v>13</v>
      </c>
      <c r="G104" s="2">
        <v>0.2</v>
      </c>
      <c r="H104" s="3">
        <v>45567</v>
      </c>
      <c r="I104" s="2">
        <v>202.82</v>
      </c>
    </row>
    <row r="105" spans="1:9" ht="16.5" customHeight="1" thickBot="1" x14ac:dyDescent="0.4">
      <c r="A105" s="1" t="s">
        <v>13</v>
      </c>
      <c r="B105" s="1" t="s">
        <v>48</v>
      </c>
      <c r="C105" s="1" t="s">
        <v>24</v>
      </c>
      <c r="D105" s="1" t="s">
        <v>21</v>
      </c>
      <c r="E105" s="2">
        <v>925.29</v>
      </c>
      <c r="F105" s="2">
        <v>17</v>
      </c>
      <c r="G105" s="2">
        <v>0</v>
      </c>
      <c r="H105" s="3">
        <v>45570</v>
      </c>
      <c r="I105" s="2">
        <v>231.32</v>
      </c>
    </row>
    <row r="106" spans="1:9" ht="16.5" customHeight="1" thickBot="1" x14ac:dyDescent="0.4">
      <c r="A106" s="1" t="s">
        <v>54</v>
      </c>
      <c r="B106" s="1" t="s">
        <v>47</v>
      </c>
      <c r="C106" s="1" t="s">
        <v>18</v>
      </c>
      <c r="D106" s="1" t="s">
        <v>27</v>
      </c>
      <c r="E106" s="2">
        <v>1286.54</v>
      </c>
      <c r="F106" s="2">
        <v>8</v>
      </c>
      <c r="G106" s="2">
        <v>0</v>
      </c>
      <c r="H106" s="3">
        <v>45575</v>
      </c>
      <c r="I106" s="2">
        <v>450.29</v>
      </c>
    </row>
    <row r="107" spans="1:9" ht="16.5" customHeight="1" thickBot="1" x14ac:dyDescent="0.4">
      <c r="A107" s="1" t="s">
        <v>37</v>
      </c>
      <c r="B107" s="1" t="s">
        <v>64</v>
      </c>
      <c r="C107" s="1" t="s">
        <v>20</v>
      </c>
      <c r="D107" s="1" t="s">
        <v>12</v>
      </c>
      <c r="E107" s="2">
        <v>961.62</v>
      </c>
      <c r="F107" s="2">
        <v>8</v>
      </c>
      <c r="G107" s="2">
        <v>0.2</v>
      </c>
      <c r="H107" s="3">
        <v>45577</v>
      </c>
      <c r="I107" s="2">
        <v>307.72000000000003</v>
      </c>
    </row>
    <row r="108" spans="1:9" ht="16.5" customHeight="1" thickBot="1" x14ac:dyDescent="0.4">
      <c r="A108" s="1" t="s">
        <v>44</v>
      </c>
      <c r="B108" s="1" t="s">
        <v>23</v>
      </c>
      <c r="C108" s="1" t="s">
        <v>18</v>
      </c>
      <c r="D108" s="1" t="s">
        <v>12</v>
      </c>
      <c r="E108" s="2">
        <v>1081.1400000000001</v>
      </c>
      <c r="F108" s="2">
        <v>19</v>
      </c>
      <c r="G108" s="2">
        <v>0.15</v>
      </c>
      <c r="H108" s="3">
        <v>45577</v>
      </c>
      <c r="I108" s="2">
        <v>367.59</v>
      </c>
    </row>
    <row r="109" spans="1:9" ht="16.5" customHeight="1" thickBot="1" x14ac:dyDescent="0.4">
      <c r="A109" s="1" t="s">
        <v>58</v>
      </c>
      <c r="B109" s="1" t="s">
        <v>23</v>
      </c>
      <c r="C109" s="1" t="s">
        <v>11</v>
      </c>
      <c r="D109" s="1" t="s">
        <v>15</v>
      </c>
      <c r="E109" s="2">
        <v>1923.66</v>
      </c>
      <c r="F109" s="2">
        <v>9</v>
      </c>
      <c r="G109" s="2">
        <v>0.2</v>
      </c>
      <c r="H109" s="3">
        <v>45580</v>
      </c>
      <c r="I109" s="2">
        <v>769.46</v>
      </c>
    </row>
    <row r="110" spans="1:9" ht="16.5" customHeight="1" thickBot="1" x14ac:dyDescent="0.4">
      <c r="A110" s="1" t="s">
        <v>54</v>
      </c>
      <c r="B110" s="1" t="s">
        <v>66</v>
      </c>
      <c r="C110" s="1" t="s">
        <v>34</v>
      </c>
      <c r="D110" s="1" t="s">
        <v>15</v>
      </c>
      <c r="E110" s="2">
        <v>728.71</v>
      </c>
      <c r="F110" s="2">
        <v>14</v>
      </c>
      <c r="G110" s="2">
        <v>0.1</v>
      </c>
      <c r="H110" s="3">
        <v>45581</v>
      </c>
      <c r="I110" s="2">
        <v>327.92</v>
      </c>
    </row>
    <row r="111" spans="1:9" ht="16.5" customHeight="1" thickBot="1" x14ac:dyDescent="0.4">
      <c r="A111" s="1" t="s">
        <v>9</v>
      </c>
      <c r="B111" s="1" t="s">
        <v>33</v>
      </c>
      <c r="C111" s="1" t="s">
        <v>34</v>
      </c>
      <c r="D111" s="1" t="s">
        <v>15</v>
      </c>
      <c r="E111" s="2">
        <v>1301.8900000000001</v>
      </c>
      <c r="F111" s="2">
        <v>7</v>
      </c>
      <c r="G111" s="2">
        <v>0.15</v>
      </c>
      <c r="H111" s="3">
        <v>45581</v>
      </c>
      <c r="I111" s="2">
        <v>553.29999999999995</v>
      </c>
    </row>
    <row r="112" spans="1:9" ht="16.5" customHeight="1" thickBot="1" x14ac:dyDescent="0.4">
      <c r="A112" s="1" t="s">
        <v>70</v>
      </c>
      <c r="B112" s="1" t="s">
        <v>66</v>
      </c>
      <c r="C112" s="1" t="s">
        <v>18</v>
      </c>
      <c r="D112" s="1" t="s">
        <v>12</v>
      </c>
      <c r="E112" s="2">
        <v>980.18</v>
      </c>
      <c r="F112" s="2">
        <v>16</v>
      </c>
      <c r="G112" s="2">
        <v>0.1</v>
      </c>
      <c r="H112" s="3">
        <v>45582</v>
      </c>
      <c r="I112" s="2">
        <v>352.86</v>
      </c>
    </row>
    <row r="113" spans="1:9" ht="16.5" customHeight="1" thickBot="1" x14ac:dyDescent="0.4">
      <c r="A113" s="1" t="s">
        <v>74</v>
      </c>
      <c r="B113" s="1" t="s">
        <v>23</v>
      </c>
      <c r="C113" s="1" t="s">
        <v>11</v>
      </c>
      <c r="D113" s="1" t="s">
        <v>15</v>
      </c>
      <c r="E113" s="2">
        <v>697.57</v>
      </c>
      <c r="F113" s="2">
        <v>17</v>
      </c>
      <c r="G113" s="2">
        <v>0.1</v>
      </c>
      <c r="H113" s="3">
        <v>45584</v>
      </c>
      <c r="I113" s="2">
        <v>313.91000000000003</v>
      </c>
    </row>
    <row r="114" spans="1:9" ht="16.5" customHeight="1" thickBot="1" x14ac:dyDescent="0.4">
      <c r="A114" s="1" t="s">
        <v>46</v>
      </c>
      <c r="B114" s="1" t="s">
        <v>71</v>
      </c>
      <c r="C114" s="1" t="s">
        <v>11</v>
      </c>
      <c r="D114" s="1" t="s">
        <v>27</v>
      </c>
      <c r="E114" s="2">
        <v>1193.6099999999999</v>
      </c>
      <c r="F114" s="2">
        <v>1</v>
      </c>
      <c r="G114" s="2">
        <v>0.15</v>
      </c>
      <c r="H114" s="3">
        <v>45584</v>
      </c>
      <c r="I114" s="2">
        <v>355.1</v>
      </c>
    </row>
    <row r="115" spans="1:9" ht="16.5" customHeight="1" thickBot="1" x14ac:dyDescent="0.4">
      <c r="A115" s="1" t="s">
        <v>32</v>
      </c>
      <c r="B115" s="1" t="s">
        <v>38</v>
      </c>
      <c r="C115" s="1" t="s">
        <v>20</v>
      </c>
      <c r="D115" s="1" t="s">
        <v>21</v>
      </c>
      <c r="E115" s="2">
        <v>771.02</v>
      </c>
      <c r="F115" s="2">
        <v>1</v>
      </c>
      <c r="G115" s="2">
        <v>0</v>
      </c>
      <c r="H115" s="3">
        <v>45585</v>
      </c>
      <c r="I115" s="2">
        <v>192.76</v>
      </c>
    </row>
    <row r="116" spans="1:9" ht="16.5" customHeight="1" thickBot="1" x14ac:dyDescent="0.4">
      <c r="A116" s="1" t="s">
        <v>67</v>
      </c>
      <c r="B116" s="1" t="s">
        <v>69</v>
      </c>
      <c r="C116" s="1" t="s">
        <v>24</v>
      </c>
      <c r="D116" s="1" t="s">
        <v>15</v>
      </c>
      <c r="E116" s="2">
        <v>661.09</v>
      </c>
      <c r="F116" s="2">
        <v>1</v>
      </c>
      <c r="G116" s="2">
        <v>0.2</v>
      </c>
      <c r="H116" s="3">
        <v>45593</v>
      </c>
      <c r="I116" s="2">
        <v>264.44</v>
      </c>
    </row>
    <row r="117" spans="1:9" ht="16.5" customHeight="1" thickBot="1" x14ac:dyDescent="0.4">
      <c r="A117" s="1" t="s">
        <v>13</v>
      </c>
      <c r="B117" s="1" t="s">
        <v>55</v>
      </c>
      <c r="C117" s="1" t="s">
        <v>11</v>
      </c>
      <c r="D117" s="1" t="s">
        <v>21</v>
      </c>
      <c r="E117" s="2">
        <v>688.83</v>
      </c>
      <c r="F117" s="2">
        <v>15</v>
      </c>
      <c r="G117" s="2">
        <v>0</v>
      </c>
      <c r="H117" s="3">
        <v>45595</v>
      </c>
      <c r="I117" s="2">
        <v>172.21</v>
      </c>
    </row>
    <row r="118" spans="1:9" ht="16.5" customHeight="1" thickBot="1" x14ac:dyDescent="0.4">
      <c r="A118" s="1" t="s">
        <v>73</v>
      </c>
      <c r="B118" s="1" t="s">
        <v>29</v>
      </c>
      <c r="C118" s="1" t="s">
        <v>34</v>
      </c>
      <c r="D118" s="1" t="s">
        <v>12</v>
      </c>
      <c r="E118" s="2">
        <v>1249.0999999999999</v>
      </c>
      <c r="F118" s="2">
        <v>4</v>
      </c>
      <c r="G118" s="2">
        <v>0.05</v>
      </c>
      <c r="H118" s="3">
        <v>45597</v>
      </c>
      <c r="I118" s="2">
        <v>474.66</v>
      </c>
    </row>
    <row r="119" spans="1:9" ht="16.5" customHeight="1" thickBot="1" x14ac:dyDescent="0.4">
      <c r="A119" s="1" t="s">
        <v>44</v>
      </c>
      <c r="B119" s="1" t="s">
        <v>23</v>
      </c>
      <c r="C119" s="1" t="s">
        <v>18</v>
      </c>
      <c r="D119" s="1" t="s">
        <v>39</v>
      </c>
      <c r="E119" s="2">
        <v>1014.22</v>
      </c>
      <c r="F119" s="2">
        <v>14</v>
      </c>
      <c r="G119" s="2">
        <v>0.05</v>
      </c>
      <c r="H119" s="3">
        <v>45599</v>
      </c>
      <c r="I119" s="2">
        <v>433.58</v>
      </c>
    </row>
    <row r="120" spans="1:9" ht="16.5" customHeight="1" thickBot="1" x14ac:dyDescent="0.4">
      <c r="A120" s="1" t="s">
        <v>54</v>
      </c>
      <c r="B120" s="1" t="s">
        <v>48</v>
      </c>
      <c r="C120" s="1" t="s">
        <v>18</v>
      </c>
      <c r="D120" s="1" t="s">
        <v>12</v>
      </c>
      <c r="E120" s="2">
        <v>1010.58</v>
      </c>
      <c r="F120" s="2">
        <v>2</v>
      </c>
      <c r="G120" s="2">
        <v>0.15</v>
      </c>
      <c r="H120" s="3">
        <v>45605</v>
      </c>
      <c r="I120" s="2">
        <v>343.6</v>
      </c>
    </row>
    <row r="121" spans="1:9" ht="16.5" customHeight="1" thickBot="1" x14ac:dyDescent="0.4">
      <c r="A121" s="1" t="s">
        <v>30</v>
      </c>
      <c r="B121" s="1" t="s">
        <v>59</v>
      </c>
      <c r="C121" s="1" t="s">
        <v>24</v>
      </c>
      <c r="D121" s="1" t="s">
        <v>27</v>
      </c>
      <c r="E121" s="2">
        <v>957.29</v>
      </c>
      <c r="F121" s="2">
        <v>4</v>
      </c>
      <c r="G121" s="2">
        <v>0.05</v>
      </c>
      <c r="H121" s="3">
        <v>45605</v>
      </c>
      <c r="I121" s="2">
        <v>318.3</v>
      </c>
    </row>
    <row r="122" spans="1:9" ht="16.5" customHeight="1" thickBot="1" x14ac:dyDescent="0.4">
      <c r="A122" s="1" t="s">
        <v>28</v>
      </c>
      <c r="B122" s="1" t="s">
        <v>45</v>
      </c>
      <c r="C122" s="1" t="s">
        <v>24</v>
      </c>
      <c r="D122" s="1" t="s">
        <v>27</v>
      </c>
      <c r="E122" s="2">
        <v>1077.92</v>
      </c>
      <c r="F122" s="2">
        <v>3</v>
      </c>
      <c r="G122" s="2">
        <v>0.05</v>
      </c>
      <c r="H122" s="3">
        <v>45608</v>
      </c>
      <c r="I122" s="2">
        <v>358.41</v>
      </c>
    </row>
    <row r="123" spans="1:9" ht="16.5" customHeight="1" thickBot="1" x14ac:dyDescent="0.4">
      <c r="A123" s="1" t="s">
        <v>52</v>
      </c>
      <c r="B123" s="1" t="s">
        <v>50</v>
      </c>
      <c r="C123" s="1" t="s">
        <v>20</v>
      </c>
      <c r="D123" s="1" t="s">
        <v>15</v>
      </c>
      <c r="E123" s="2">
        <v>1163.01</v>
      </c>
      <c r="F123" s="2">
        <v>5</v>
      </c>
      <c r="G123" s="2">
        <v>0</v>
      </c>
      <c r="H123" s="3">
        <v>45611</v>
      </c>
      <c r="I123" s="2">
        <v>581.5</v>
      </c>
    </row>
    <row r="124" spans="1:9" ht="16.5" customHeight="1" thickBot="1" x14ac:dyDescent="0.4">
      <c r="A124" s="1" t="s">
        <v>54</v>
      </c>
      <c r="B124" s="1" t="s">
        <v>45</v>
      </c>
      <c r="C124" s="1" t="s">
        <v>18</v>
      </c>
      <c r="D124" s="1" t="s">
        <v>39</v>
      </c>
      <c r="E124" s="2">
        <v>1014.56</v>
      </c>
      <c r="F124" s="2">
        <v>10</v>
      </c>
      <c r="G124" s="2">
        <v>0.1</v>
      </c>
      <c r="H124" s="3">
        <v>45612</v>
      </c>
      <c r="I124" s="2">
        <v>410.9</v>
      </c>
    </row>
    <row r="125" spans="1:9" ht="16.5" customHeight="1" thickBot="1" x14ac:dyDescent="0.4">
      <c r="A125" s="1" t="s">
        <v>9</v>
      </c>
      <c r="B125" s="1" t="s">
        <v>17</v>
      </c>
      <c r="C125" s="1" t="s">
        <v>20</v>
      </c>
      <c r="D125" s="1" t="s">
        <v>21</v>
      </c>
      <c r="E125" s="2">
        <v>718.04</v>
      </c>
      <c r="F125" s="2">
        <v>14</v>
      </c>
      <c r="G125" s="2">
        <v>0</v>
      </c>
      <c r="H125" s="3">
        <v>45613</v>
      </c>
      <c r="I125" s="2">
        <v>179.51</v>
      </c>
    </row>
    <row r="126" spans="1:9" ht="16.5" customHeight="1" thickBot="1" x14ac:dyDescent="0.4">
      <c r="A126" s="1" t="s">
        <v>72</v>
      </c>
      <c r="B126" s="1" t="s">
        <v>17</v>
      </c>
      <c r="C126" s="1" t="s">
        <v>34</v>
      </c>
      <c r="D126" s="1" t="s">
        <v>15</v>
      </c>
      <c r="E126" s="2">
        <v>1277.8499999999999</v>
      </c>
      <c r="F126" s="2">
        <v>18</v>
      </c>
      <c r="G126" s="2">
        <v>0.2</v>
      </c>
      <c r="H126" s="3">
        <v>45613</v>
      </c>
      <c r="I126" s="2">
        <v>511.14</v>
      </c>
    </row>
    <row r="127" spans="1:9" ht="16.5" customHeight="1" thickBot="1" x14ac:dyDescent="0.4">
      <c r="A127" s="1" t="s">
        <v>70</v>
      </c>
      <c r="B127" s="1" t="s">
        <v>23</v>
      </c>
      <c r="C127" s="1" t="s">
        <v>24</v>
      </c>
      <c r="D127" s="1" t="s">
        <v>21</v>
      </c>
      <c r="E127" s="2">
        <v>706.73</v>
      </c>
      <c r="F127" s="2">
        <v>1</v>
      </c>
      <c r="G127" s="2">
        <v>0.15</v>
      </c>
      <c r="H127" s="3">
        <v>45613</v>
      </c>
      <c r="I127" s="2">
        <v>150.18</v>
      </c>
    </row>
    <row r="128" spans="1:9" ht="16.5" customHeight="1" thickBot="1" x14ac:dyDescent="0.4">
      <c r="A128" s="1" t="s">
        <v>65</v>
      </c>
      <c r="B128" s="1" t="s">
        <v>50</v>
      </c>
      <c r="C128" s="1" t="s">
        <v>18</v>
      </c>
      <c r="D128" s="1" t="s">
        <v>21</v>
      </c>
      <c r="E128" s="2">
        <v>1410.59</v>
      </c>
      <c r="F128" s="2">
        <v>15</v>
      </c>
      <c r="G128" s="2">
        <v>0</v>
      </c>
      <c r="H128" s="3">
        <v>45615</v>
      </c>
      <c r="I128" s="2">
        <v>352.65</v>
      </c>
    </row>
    <row r="129" spans="1:9" ht="16.5" customHeight="1" thickBot="1" x14ac:dyDescent="0.4">
      <c r="A129" s="1" t="s">
        <v>32</v>
      </c>
      <c r="B129" s="1" t="s">
        <v>61</v>
      </c>
      <c r="C129" s="1" t="s">
        <v>20</v>
      </c>
      <c r="D129" s="1" t="s">
        <v>27</v>
      </c>
      <c r="E129" s="2">
        <v>1350.33</v>
      </c>
      <c r="F129" s="2">
        <v>10</v>
      </c>
      <c r="G129" s="2">
        <v>0</v>
      </c>
      <c r="H129" s="3">
        <v>45615</v>
      </c>
      <c r="I129" s="2">
        <v>472.62</v>
      </c>
    </row>
    <row r="130" spans="1:9" ht="16.5" customHeight="1" thickBot="1" x14ac:dyDescent="0.4">
      <c r="A130" s="1" t="s">
        <v>41</v>
      </c>
      <c r="B130" s="1" t="s">
        <v>45</v>
      </c>
      <c r="C130" s="1" t="s">
        <v>18</v>
      </c>
      <c r="D130" s="1" t="s">
        <v>21</v>
      </c>
      <c r="E130" s="2">
        <v>919.18</v>
      </c>
      <c r="F130" s="2">
        <v>4</v>
      </c>
      <c r="G130" s="2">
        <v>0.15</v>
      </c>
      <c r="H130" s="3">
        <v>45615</v>
      </c>
      <c r="I130" s="2">
        <v>195.33</v>
      </c>
    </row>
    <row r="131" spans="1:9" ht="16.5" customHeight="1" thickBot="1" x14ac:dyDescent="0.4">
      <c r="A131" s="1" t="s">
        <v>74</v>
      </c>
      <c r="B131" s="1" t="s">
        <v>23</v>
      </c>
      <c r="C131" s="1" t="s">
        <v>11</v>
      </c>
      <c r="D131" s="1" t="s">
        <v>21</v>
      </c>
      <c r="E131" s="2">
        <v>258.51</v>
      </c>
      <c r="F131" s="2">
        <v>19</v>
      </c>
      <c r="G131" s="2">
        <v>0</v>
      </c>
      <c r="H131" s="3">
        <v>45616</v>
      </c>
      <c r="I131" s="2">
        <v>64.63</v>
      </c>
    </row>
    <row r="132" spans="1:9" ht="16.5" customHeight="1" thickBot="1" x14ac:dyDescent="0.4">
      <c r="A132" s="1" t="s">
        <v>63</v>
      </c>
      <c r="B132" s="1" t="s">
        <v>61</v>
      </c>
      <c r="C132" s="1" t="s">
        <v>18</v>
      </c>
      <c r="D132" s="1" t="s">
        <v>12</v>
      </c>
      <c r="E132" s="2">
        <v>1213.48</v>
      </c>
      <c r="F132" s="2">
        <v>5</v>
      </c>
      <c r="G132" s="2">
        <v>0.05</v>
      </c>
      <c r="H132" s="3">
        <v>45616</v>
      </c>
      <c r="I132" s="2">
        <v>461.12</v>
      </c>
    </row>
    <row r="133" spans="1:9" ht="16.5" customHeight="1" thickBot="1" x14ac:dyDescent="0.4">
      <c r="A133" s="1" t="s">
        <v>57</v>
      </c>
      <c r="B133" s="1" t="s">
        <v>38</v>
      </c>
      <c r="C133" s="1" t="s">
        <v>34</v>
      </c>
      <c r="D133" s="1" t="s">
        <v>12</v>
      </c>
      <c r="E133" s="2">
        <v>1150.28</v>
      </c>
      <c r="F133" s="2">
        <v>8</v>
      </c>
      <c r="G133" s="2">
        <v>0.05</v>
      </c>
      <c r="H133" s="3">
        <v>45622</v>
      </c>
      <c r="I133" s="2">
        <v>437.11</v>
      </c>
    </row>
    <row r="134" spans="1:9" ht="16.5" customHeight="1" thickBot="1" x14ac:dyDescent="0.4">
      <c r="A134" s="1" t="s">
        <v>37</v>
      </c>
      <c r="B134" s="1" t="s">
        <v>71</v>
      </c>
      <c r="C134" s="1" t="s">
        <v>20</v>
      </c>
      <c r="D134" s="1" t="s">
        <v>27</v>
      </c>
      <c r="E134" s="2">
        <v>853.86</v>
      </c>
      <c r="F134" s="2">
        <v>8</v>
      </c>
      <c r="G134" s="2">
        <v>0.1</v>
      </c>
      <c r="H134" s="3">
        <v>45622</v>
      </c>
      <c r="I134" s="2">
        <v>268.97000000000003</v>
      </c>
    </row>
    <row r="135" spans="1:9" ht="16.5" customHeight="1" thickBot="1" x14ac:dyDescent="0.4">
      <c r="A135" s="1" t="s">
        <v>75</v>
      </c>
      <c r="B135" s="1" t="s">
        <v>45</v>
      </c>
      <c r="C135" s="1" t="s">
        <v>20</v>
      </c>
      <c r="D135" s="1" t="s">
        <v>21</v>
      </c>
      <c r="E135" s="2">
        <v>1061.04</v>
      </c>
      <c r="F135" s="2">
        <v>1</v>
      </c>
      <c r="G135" s="2">
        <v>0</v>
      </c>
      <c r="H135" s="3">
        <v>45624</v>
      </c>
      <c r="I135" s="2">
        <v>265.26</v>
      </c>
    </row>
    <row r="136" spans="1:9" ht="16.5" customHeight="1" thickBot="1" x14ac:dyDescent="0.4">
      <c r="A136" s="1" t="s">
        <v>28</v>
      </c>
      <c r="B136" s="1" t="s">
        <v>43</v>
      </c>
      <c r="C136" s="1" t="s">
        <v>11</v>
      </c>
      <c r="D136" s="1" t="s">
        <v>21</v>
      </c>
      <c r="E136" s="2">
        <v>894.55</v>
      </c>
      <c r="F136" s="2">
        <v>19</v>
      </c>
      <c r="G136" s="2">
        <v>0.2</v>
      </c>
      <c r="H136" s="3">
        <v>45625</v>
      </c>
      <c r="I136" s="2">
        <v>178.91</v>
      </c>
    </row>
    <row r="137" spans="1:9" ht="16.5" customHeight="1" thickBot="1" x14ac:dyDescent="0.4">
      <c r="A137" s="1" t="s">
        <v>25</v>
      </c>
      <c r="B137" s="1" t="s">
        <v>38</v>
      </c>
      <c r="C137" s="1" t="s">
        <v>24</v>
      </c>
      <c r="D137" s="1" t="s">
        <v>39</v>
      </c>
      <c r="E137" s="2">
        <v>833.91</v>
      </c>
      <c r="F137" s="2">
        <v>3</v>
      </c>
      <c r="G137" s="2">
        <v>0.05</v>
      </c>
      <c r="H137" s="3">
        <v>45626</v>
      </c>
      <c r="I137" s="2">
        <v>356.5</v>
      </c>
    </row>
    <row r="138" spans="1:9" ht="16.5" customHeight="1" thickBot="1" x14ac:dyDescent="0.4">
      <c r="A138" s="1" t="s">
        <v>58</v>
      </c>
      <c r="B138" s="1" t="s">
        <v>71</v>
      </c>
      <c r="C138" s="1" t="s">
        <v>11</v>
      </c>
      <c r="D138" s="1" t="s">
        <v>27</v>
      </c>
      <c r="E138" s="2">
        <v>820.19</v>
      </c>
      <c r="F138" s="2">
        <v>4</v>
      </c>
      <c r="G138" s="2">
        <v>0.2</v>
      </c>
      <c r="H138" s="3">
        <v>45630</v>
      </c>
      <c r="I138" s="2">
        <v>229.65</v>
      </c>
    </row>
    <row r="139" spans="1:9" ht="16.5" customHeight="1" thickBot="1" x14ac:dyDescent="0.4">
      <c r="A139" s="1" t="s">
        <v>58</v>
      </c>
      <c r="B139" s="1" t="s">
        <v>38</v>
      </c>
      <c r="C139" s="1" t="s">
        <v>34</v>
      </c>
      <c r="D139" s="1" t="s">
        <v>21</v>
      </c>
      <c r="E139" s="2">
        <v>511.74</v>
      </c>
      <c r="F139" s="2">
        <v>8</v>
      </c>
      <c r="G139" s="2">
        <v>0.05</v>
      </c>
      <c r="H139" s="3">
        <v>45631</v>
      </c>
      <c r="I139" s="2">
        <v>121.54</v>
      </c>
    </row>
    <row r="140" spans="1:9" ht="16.5" customHeight="1" thickBot="1" x14ac:dyDescent="0.4">
      <c r="A140" s="1" t="s">
        <v>65</v>
      </c>
      <c r="B140" s="1" t="s">
        <v>61</v>
      </c>
      <c r="C140" s="1" t="s">
        <v>20</v>
      </c>
      <c r="D140" s="1" t="s">
        <v>27</v>
      </c>
      <c r="E140" s="2">
        <v>806.03</v>
      </c>
      <c r="F140" s="2">
        <v>19</v>
      </c>
      <c r="G140" s="2">
        <v>0.05</v>
      </c>
      <c r="H140" s="3">
        <v>45638</v>
      </c>
      <c r="I140" s="2">
        <v>268</v>
      </c>
    </row>
    <row r="141" spans="1:9" ht="16.5" customHeight="1" thickBot="1" x14ac:dyDescent="0.4">
      <c r="A141" s="1" t="s">
        <v>28</v>
      </c>
      <c r="B141" s="1" t="s">
        <v>26</v>
      </c>
      <c r="C141" s="1" t="s">
        <v>34</v>
      </c>
      <c r="D141" s="1" t="s">
        <v>27</v>
      </c>
      <c r="E141" s="2">
        <v>1432.47</v>
      </c>
      <c r="F141" s="2">
        <v>16</v>
      </c>
      <c r="G141" s="2">
        <v>0.15</v>
      </c>
      <c r="H141" s="3">
        <v>45640</v>
      </c>
      <c r="I141" s="2">
        <v>426.16</v>
      </c>
    </row>
    <row r="142" spans="1:9" ht="16.5" customHeight="1" thickBot="1" x14ac:dyDescent="0.4">
      <c r="A142" s="1" t="s">
        <v>74</v>
      </c>
      <c r="B142" s="1" t="s">
        <v>29</v>
      </c>
      <c r="C142" s="1" t="s">
        <v>34</v>
      </c>
      <c r="D142" s="1" t="s">
        <v>21</v>
      </c>
      <c r="E142" s="2">
        <v>1488.58</v>
      </c>
      <c r="F142" s="2">
        <v>10</v>
      </c>
      <c r="G142" s="2">
        <v>0.15</v>
      </c>
      <c r="H142" s="3">
        <v>45640</v>
      </c>
      <c r="I142" s="2">
        <v>316.32</v>
      </c>
    </row>
    <row r="143" spans="1:9" ht="16.5" customHeight="1" thickBot="1" x14ac:dyDescent="0.4">
      <c r="A143" s="1" t="s">
        <v>30</v>
      </c>
      <c r="B143" s="1" t="s">
        <v>66</v>
      </c>
      <c r="C143" s="1" t="s">
        <v>18</v>
      </c>
      <c r="D143" s="1" t="s">
        <v>12</v>
      </c>
      <c r="E143" s="2">
        <v>1231.26</v>
      </c>
      <c r="F143" s="2">
        <v>9</v>
      </c>
      <c r="G143" s="2">
        <v>0</v>
      </c>
      <c r="H143" s="3">
        <v>45646</v>
      </c>
      <c r="I143" s="2">
        <v>492.5</v>
      </c>
    </row>
    <row r="144" spans="1:9" ht="16.5" customHeight="1" thickBot="1" x14ac:dyDescent="0.4">
      <c r="A144" s="1" t="s">
        <v>30</v>
      </c>
      <c r="B144" s="1" t="s">
        <v>43</v>
      </c>
      <c r="C144" s="1" t="s">
        <v>11</v>
      </c>
      <c r="D144" s="1" t="s">
        <v>21</v>
      </c>
      <c r="E144" s="2">
        <v>1161.67</v>
      </c>
      <c r="F144" s="2">
        <v>19</v>
      </c>
      <c r="G144" s="2">
        <v>0.2</v>
      </c>
      <c r="H144" s="3">
        <v>45647</v>
      </c>
      <c r="I144" s="2">
        <v>232.33</v>
      </c>
    </row>
    <row r="145" spans="1:9" ht="16.5" customHeight="1" thickBot="1" x14ac:dyDescent="0.4">
      <c r="A145" s="1" t="s">
        <v>49</v>
      </c>
      <c r="B145" s="1" t="s">
        <v>45</v>
      </c>
      <c r="C145" s="1" t="s">
        <v>34</v>
      </c>
      <c r="D145" s="1" t="s">
        <v>39</v>
      </c>
      <c r="E145" s="2">
        <v>388.23</v>
      </c>
      <c r="F145" s="2">
        <v>16</v>
      </c>
      <c r="G145" s="2">
        <v>0.05</v>
      </c>
      <c r="H145" s="3">
        <v>45650</v>
      </c>
      <c r="I145" s="2">
        <v>165.97</v>
      </c>
    </row>
    <row r="146" spans="1:9" ht="16.5" customHeight="1" thickBot="1" x14ac:dyDescent="0.4">
      <c r="A146" s="1" t="s">
        <v>72</v>
      </c>
      <c r="B146" s="1" t="s">
        <v>31</v>
      </c>
      <c r="C146" s="1" t="s">
        <v>24</v>
      </c>
      <c r="D146" s="1" t="s">
        <v>15</v>
      </c>
      <c r="E146" s="2">
        <v>1589.42</v>
      </c>
      <c r="F146" s="2">
        <v>6</v>
      </c>
      <c r="G146" s="2">
        <v>0.15</v>
      </c>
      <c r="H146" s="3">
        <v>45651</v>
      </c>
      <c r="I146" s="2">
        <v>675.5</v>
      </c>
    </row>
    <row r="147" spans="1:9" ht="16.5" customHeight="1" thickBot="1" x14ac:dyDescent="0.4">
      <c r="A147" s="1" t="s">
        <v>28</v>
      </c>
      <c r="B147" s="1" t="s">
        <v>71</v>
      </c>
      <c r="C147" s="1" t="s">
        <v>24</v>
      </c>
      <c r="D147" s="1" t="s">
        <v>15</v>
      </c>
      <c r="E147" s="2">
        <v>336.66</v>
      </c>
      <c r="F147" s="2">
        <v>13</v>
      </c>
      <c r="G147" s="2">
        <v>0.2</v>
      </c>
      <c r="H147" s="3">
        <v>45651</v>
      </c>
      <c r="I147" s="2">
        <v>134.66</v>
      </c>
    </row>
    <row r="148" spans="1:9" ht="16.5" customHeight="1" thickBot="1" x14ac:dyDescent="0.4">
      <c r="A148" s="1" t="s">
        <v>49</v>
      </c>
      <c r="B148" s="1" t="s">
        <v>23</v>
      </c>
      <c r="C148" s="1" t="s">
        <v>11</v>
      </c>
      <c r="D148" s="1" t="s">
        <v>12</v>
      </c>
      <c r="E148" s="2">
        <v>1353.79</v>
      </c>
      <c r="F148" s="2">
        <v>14</v>
      </c>
      <c r="G148" s="2">
        <v>0.1</v>
      </c>
      <c r="H148" s="3">
        <v>45656</v>
      </c>
      <c r="I148" s="2">
        <v>487.36</v>
      </c>
    </row>
    <row r="149" spans="1:9" ht="16.5" customHeight="1" thickBot="1" x14ac:dyDescent="0.4">
      <c r="A149" s="1" t="s">
        <v>63</v>
      </c>
      <c r="B149" s="1" t="s">
        <v>69</v>
      </c>
      <c r="C149" s="1" t="s">
        <v>34</v>
      </c>
      <c r="D149" s="1" t="s">
        <v>15</v>
      </c>
      <c r="E149" s="2">
        <v>662.61</v>
      </c>
      <c r="F149" s="2">
        <v>11</v>
      </c>
      <c r="G149" s="2">
        <v>0.05</v>
      </c>
      <c r="H149" s="3">
        <v>45658</v>
      </c>
      <c r="I149" s="2">
        <v>314.74</v>
      </c>
    </row>
    <row r="150" spans="1:9" ht="16.5" customHeight="1" thickBot="1" x14ac:dyDescent="0.4">
      <c r="A150" s="1" t="s">
        <v>52</v>
      </c>
      <c r="B150" s="1" t="s">
        <v>48</v>
      </c>
      <c r="C150" s="1" t="s">
        <v>24</v>
      </c>
      <c r="D150" s="1" t="s">
        <v>39</v>
      </c>
      <c r="E150" s="2">
        <v>309.42</v>
      </c>
      <c r="F150" s="2">
        <v>1</v>
      </c>
      <c r="G150" s="2">
        <v>0.2</v>
      </c>
      <c r="H150" s="3">
        <v>45658</v>
      </c>
      <c r="I150" s="2">
        <v>111.39</v>
      </c>
    </row>
    <row r="151" spans="1:9" ht="16.5" customHeight="1" thickBot="1" x14ac:dyDescent="0.4">
      <c r="A151" s="1" t="s">
        <v>63</v>
      </c>
      <c r="B151" s="1" t="s">
        <v>29</v>
      </c>
      <c r="C151" s="1" t="s">
        <v>24</v>
      </c>
      <c r="D151" s="1" t="s">
        <v>12</v>
      </c>
      <c r="E151" s="2">
        <v>884.63</v>
      </c>
      <c r="F151" s="2">
        <v>18</v>
      </c>
      <c r="G151" s="2">
        <v>0.1</v>
      </c>
      <c r="H151" s="3">
        <v>45659</v>
      </c>
      <c r="I151" s="2">
        <v>318.47000000000003</v>
      </c>
    </row>
    <row r="152" spans="1:9" ht="16.5" customHeight="1" thickBot="1" x14ac:dyDescent="0.4">
      <c r="A152" s="1" t="s">
        <v>52</v>
      </c>
      <c r="B152" s="1" t="s">
        <v>23</v>
      </c>
      <c r="C152" s="1" t="s">
        <v>34</v>
      </c>
      <c r="D152" s="1" t="s">
        <v>39</v>
      </c>
      <c r="E152" s="2">
        <v>745.05</v>
      </c>
      <c r="F152" s="2">
        <v>10</v>
      </c>
      <c r="G152" s="2">
        <v>0.1</v>
      </c>
      <c r="H152" s="3">
        <v>45660</v>
      </c>
      <c r="I152" s="2">
        <v>301.75</v>
      </c>
    </row>
    <row r="153" spans="1:9" ht="16.5" customHeight="1" thickBot="1" x14ac:dyDescent="0.4">
      <c r="A153" s="1" t="s">
        <v>60</v>
      </c>
      <c r="B153" s="1" t="s">
        <v>17</v>
      </c>
      <c r="C153" s="1" t="s">
        <v>20</v>
      </c>
      <c r="D153" s="1" t="s">
        <v>15</v>
      </c>
      <c r="E153" s="2">
        <v>870.23</v>
      </c>
      <c r="F153" s="2">
        <v>5</v>
      </c>
      <c r="G153" s="2">
        <v>0.05</v>
      </c>
      <c r="H153" s="3">
        <v>45660</v>
      </c>
      <c r="I153" s="2">
        <v>413.36</v>
      </c>
    </row>
    <row r="154" spans="1:9" ht="16.5" customHeight="1" thickBot="1" x14ac:dyDescent="0.4">
      <c r="A154" s="1" t="s">
        <v>35</v>
      </c>
      <c r="B154" s="1" t="s">
        <v>29</v>
      </c>
      <c r="C154" s="1" t="s">
        <v>11</v>
      </c>
      <c r="D154" s="1" t="s">
        <v>27</v>
      </c>
      <c r="E154" s="2">
        <v>862.19</v>
      </c>
      <c r="F154" s="2">
        <v>18</v>
      </c>
      <c r="G154" s="2">
        <v>0.05</v>
      </c>
      <c r="H154" s="3">
        <v>45663</v>
      </c>
      <c r="I154" s="2">
        <v>286.68</v>
      </c>
    </row>
    <row r="155" spans="1:9" ht="16.5" customHeight="1" thickBot="1" x14ac:dyDescent="0.4">
      <c r="A155" s="1" t="s">
        <v>73</v>
      </c>
      <c r="B155" s="1" t="s">
        <v>59</v>
      </c>
      <c r="C155" s="1" t="s">
        <v>24</v>
      </c>
      <c r="D155" s="1" t="s">
        <v>15</v>
      </c>
      <c r="E155" s="2">
        <v>1171.18</v>
      </c>
      <c r="F155" s="2">
        <v>19</v>
      </c>
      <c r="G155" s="2">
        <v>0.05</v>
      </c>
      <c r="H155" s="3">
        <v>45667</v>
      </c>
      <c r="I155" s="2">
        <v>556.30999999999995</v>
      </c>
    </row>
    <row r="156" spans="1:9" ht="16.5" customHeight="1" thickBot="1" x14ac:dyDescent="0.4">
      <c r="A156" s="1" t="s">
        <v>58</v>
      </c>
      <c r="B156" s="1" t="s">
        <v>14</v>
      </c>
      <c r="C156" s="1" t="s">
        <v>20</v>
      </c>
      <c r="D156" s="1" t="s">
        <v>27</v>
      </c>
      <c r="E156" s="2">
        <v>1054.56</v>
      </c>
      <c r="F156" s="2">
        <v>11</v>
      </c>
      <c r="G156" s="2">
        <v>0.1</v>
      </c>
      <c r="H156" s="3">
        <v>45669</v>
      </c>
      <c r="I156" s="2">
        <v>332.19</v>
      </c>
    </row>
    <row r="157" spans="1:9" ht="16.5" customHeight="1" thickBot="1" x14ac:dyDescent="0.4">
      <c r="A157" s="1" t="s">
        <v>58</v>
      </c>
      <c r="B157" s="1" t="s">
        <v>23</v>
      </c>
      <c r="C157" s="1" t="s">
        <v>24</v>
      </c>
      <c r="D157" s="1" t="s">
        <v>21</v>
      </c>
      <c r="E157" s="2">
        <v>1681.21</v>
      </c>
      <c r="F157" s="2">
        <v>5</v>
      </c>
      <c r="G157" s="2">
        <v>0.2</v>
      </c>
      <c r="H157" s="3">
        <v>45670</v>
      </c>
      <c r="I157" s="2">
        <v>336.24</v>
      </c>
    </row>
    <row r="158" spans="1:9" ht="16.5" customHeight="1" thickBot="1" x14ac:dyDescent="0.4">
      <c r="A158" s="1" t="s">
        <v>58</v>
      </c>
      <c r="B158" s="1" t="s">
        <v>36</v>
      </c>
      <c r="C158" s="1" t="s">
        <v>11</v>
      </c>
      <c r="D158" s="1" t="s">
        <v>15</v>
      </c>
      <c r="E158" s="2">
        <v>379.77</v>
      </c>
      <c r="F158" s="2">
        <v>9</v>
      </c>
      <c r="G158" s="2">
        <v>0.05</v>
      </c>
      <c r="H158" s="3">
        <v>45673</v>
      </c>
      <c r="I158" s="2">
        <v>180.39</v>
      </c>
    </row>
    <row r="159" spans="1:9" ht="16.5" customHeight="1" thickBot="1" x14ac:dyDescent="0.4">
      <c r="A159" s="1" t="s">
        <v>44</v>
      </c>
      <c r="B159" s="1" t="s">
        <v>45</v>
      </c>
      <c r="C159" s="1" t="s">
        <v>34</v>
      </c>
      <c r="D159" s="1" t="s">
        <v>15</v>
      </c>
      <c r="E159" s="2">
        <v>1076.33</v>
      </c>
      <c r="F159" s="2">
        <v>2</v>
      </c>
      <c r="G159" s="2">
        <v>0.1</v>
      </c>
      <c r="H159" s="3">
        <v>45674</v>
      </c>
      <c r="I159" s="2">
        <v>484.35</v>
      </c>
    </row>
    <row r="160" spans="1:9" ht="16.5" customHeight="1" thickBot="1" x14ac:dyDescent="0.4">
      <c r="A160" s="1" t="s">
        <v>44</v>
      </c>
      <c r="B160" s="1" t="s">
        <v>31</v>
      </c>
      <c r="C160" s="1" t="s">
        <v>34</v>
      </c>
      <c r="D160" s="1" t="s">
        <v>39</v>
      </c>
      <c r="E160" s="2">
        <v>1250.71</v>
      </c>
      <c r="F160" s="2">
        <v>7</v>
      </c>
      <c r="G160" s="2">
        <v>0</v>
      </c>
      <c r="H160" s="3">
        <v>45674</v>
      </c>
      <c r="I160" s="2">
        <v>562.82000000000005</v>
      </c>
    </row>
    <row r="161" spans="1:9" ht="16.5" customHeight="1" thickBot="1" x14ac:dyDescent="0.4">
      <c r="A161" s="1" t="s">
        <v>40</v>
      </c>
      <c r="B161" s="1" t="s">
        <v>17</v>
      </c>
      <c r="C161" s="1" t="s">
        <v>20</v>
      </c>
      <c r="D161" s="1" t="s">
        <v>15</v>
      </c>
      <c r="E161" s="2">
        <v>1118.3399999999999</v>
      </c>
      <c r="F161" s="2">
        <v>6</v>
      </c>
      <c r="G161" s="2">
        <v>0.2</v>
      </c>
      <c r="H161" s="3">
        <v>45674</v>
      </c>
      <c r="I161" s="2">
        <v>447.34</v>
      </c>
    </row>
    <row r="162" spans="1:9" ht="16.5" customHeight="1" thickBot="1" x14ac:dyDescent="0.4">
      <c r="A162" s="1" t="s">
        <v>70</v>
      </c>
      <c r="B162" s="1" t="s">
        <v>53</v>
      </c>
      <c r="C162" s="1" t="s">
        <v>24</v>
      </c>
      <c r="D162" s="1" t="s">
        <v>15</v>
      </c>
      <c r="E162" s="2">
        <v>1622.62</v>
      </c>
      <c r="F162" s="2">
        <v>12</v>
      </c>
      <c r="G162" s="2">
        <v>0.2</v>
      </c>
      <c r="H162" s="3">
        <v>45677</v>
      </c>
      <c r="I162" s="2">
        <v>649.04999999999995</v>
      </c>
    </row>
    <row r="163" spans="1:9" ht="16.5" customHeight="1" thickBot="1" x14ac:dyDescent="0.4">
      <c r="A163" s="1" t="s">
        <v>75</v>
      </c>
      <c r="B163" s="1" t="s">
        <v>48</v>
      </c>
      <c r="C163" s="1" t="s">
        <v>24</v>
      </c>
      <c r="D163" s="1" t="s">
        <v>12</v>
      </c>
      <c r="E163" s="2">
        <v>640.64</v>
      </c>
      <c r="F163" s="2">
        <v>11</v>
      </c>
      <c r="G163" s="2">
        <v>0.2</v>
      </c>
      <c r="H163" s="3">
        <v>45678</v>
      </c>
      <c r="I163" s="2">
        <v>205</v>
      </c>
    </row>
    <row r="164" spans="1:9" ht="16.5" customHeight="1" thickBot="1" x14ac:dyDescent="0.4">
      <c r="A164" s="1" t="s">
        <v>22</v>
      </c>
      <c r="B164" s="1" t="s">
        <v>43</v>
      </c>
      <c r="C164" s="1" t="s">
        <v>11</v>
      </c>
      <c r="D164" s="1" t="s">
        <v>15</v>
      </c>
      <c r="E164" s="2">
        <v>585.16</v>
      </c>
      <c r="F164" s="2">
        <v>17</v>
      </c>
      <c r="G164" s="2">
        <v>0.1</v>
      </c>
      <c r="H164" s="3">
        <v>45684</v>
      </c>
      <c r="I164" s="2">
        <v>263.32</v>
      </c>
    </row>
    <row r="165" spans="1:9" ht="16.5" customHeight="1" thickBot="1" x14ac:dyDescent="0.4">
      <c r="A165" s="1" t="s">
        <v>22</v>
      </c>
      <c r="B165" s="1" t="s">
        <v>31</v>
      </c>
      <c r="C165" s="1" t="s">
        <v>18</v>
      </c>
      <c r="D165" s="1" t="s">
        <v>15</v>
      </c>
      <c r="E165" s="2">
        <v>1109.98</v>
      </c>
      <c r="F165" s="2">
        <v>5</v>
      </c>
      <c r="G165" s="2">
        <v>0.2</v>
      </c>
      <c r="H165" s="3">
        <v>45690</v>
      </c>
      <c r="I165" s="2">
        <v>443.99</v>
      </c>
    </row>
    <row r="166" spans="1:9" ht="16.5" customHeight="1" thickBot="1" x14ac:dyDescent="0.4">
      <c r="A166" s="1" t="s">
        <v>58</v>
      </c>
      <c r="B166" s="1" t="s">
        <v>45</v>
      </c>
      <c r="C166" s="1" t="s">
        <v>18</v>
      </c>
      <c r="D166" s="1" t="s">
        <v>12</v>
      </c>
      <c r="E166" s="2">
        <v>1098.08</v>
      </c>
      <c r="F166" s="2">
        <v>9</v>
      </c>
      <c r="G166" s="2">
        <v>0.1</v>
      </c>
      <c r="H166" s="3">
        <v>45692</v>
      </c>
      <c r="I166" s="2">
        <v>395.31</v>
      </c>
    </row>
    <row r="167" spans="1:9" ht="16.5" customHeight="1" thickBot="1" x14ac:dyDescent="0.4">
      <c r="A167" s="1" t="s">
        <v>65</v>
      </c>
      <c r="B167" s="1" t="s">
        <v>48</v>
      </c>
      <c r="C167" s="1" t="s">
        <v>11</v>
      </c>
      <c r="D167" s="1" t="s">
        <v>39</v>
      </c>
      <c r="E167" s="2">
        <v>827.25</v>
      </c>
      <c r="F167" s="2">
        <v>7</v>
      </c>
      <c r="G167" s="2">
        <v>0.1</v>
      </c>
      <c r="H167" s="3">
        <v>45693</v>
      </c>
      <c r="I167" s="2">
        <v>335.04</v>
      </c>
    </row>
    <row r="168" spans="1:9" ht="16.5" customHeight="1" thickBot="1" x14ac:dyDescent="0.4">
      <c r="A168" s="1" t="s">
        <v>70</v>
      </c>
      <c r="B168" s="1" t="s">
        <v>29</v>
      </c>
      <c r="C168" s="1" t="s">
        <v>34</v>
      </c>
      <c r="D168" s="1" t="s">
        <v>15</v>
      </c>
      <c r="E168" s="2">
        <v>741.88</v>
      </c>
      <c r="F168" s="2">
        <v>16</v>
      </c>
      <c r="G168" s="2">
        <v>0.1</v>
      </c>
      <c r="H168" s="3">
        <v>45695</v>
      </c>
      <c r="I168" s="2">
        <v>333.85</v>
      </c>
    </row>
    <row r="169" spans="1:9" ht="16.5" customHeight="1" thickBot="1" x14ac:dyDescent="0.4">
      <c r="A169" s="1" t="s">
        <v>72</v>
      </c>
      <c r="B169" s="1" t="s">
        <v>10</v>
      </c>
      <c r="C169" s="1" t="s">
        <v>18</v>
      </c>
      <c r="D169" s="1" t="s">
        <v>39</v>
      </c>
      <c r="E169" s="2">
        <v>1311.26</v>
      </c>
      <c r="F169" s="2">
        <v>6</v>
      </c>
      <c r="G169" s="2">
        <v>0.1</v>
      </c>
      <c r="H169" s="3">
        <v>45698</v>
      </c>
      <c r="I169" s="2">
        <v>531.05999999999995</v>
      </c>
    </row>
    <row r="170" spans="1:9" ht="16.5" customHeight="1" thickBot="1" x14ac:dyDescent="0.4">
      <c r="A170" s="1" t="s">
        <v>72</v>
      </c>
      <c r="B170" s="1" t="s">
        <v>31</v>
      </c>
      <c r="C170" s="1" t="s">
        <v>20</v>
      </c>
      <c r="D170" s="1" t="s">
        <v>39</v>
      </c>
      <c r="E170" s="2">
        <v>573.32000000000005</v>
      </c>
      <c r="F170" s="2">
        <v>19</v>
      </c>
      <c r="G170" s="2">
        <v>0.1</v>
      </c>
      <c r="H170" s="3">
        <v>45703</v>
      </c>
      <c r="I170" s="2">
        <v>232.19</v>
      </c>
    </row>
    <row r="171" spans="1:9" ht="16.5" customHeight="1" thickBot="1" x14ac:dyDescent="0.4">
      <c r="A171" s="1" t="s">
        <v>52</v>
      </c>
      <c r="B171" s="1" t="s">
        <v>23</v>
      </c>
      <c r="C171" s="1" t="s">
        <v>11</v>
      </c>
      <c r="D171" s="1" t="s">
        <v>21</v>
      </c>
      <c r="E171" s="2">
        <v>1115.22</v>
      </c>
      <c r="F171" s="2">
        <v>14</v>
      </c>
      <c r="G171" s="2">
        <v>0.2</v>
      </c>
      <c r="H171" s="3">
        <v>45705</v>
      </c>
      <c r="I171" s="2">
        <v>223.04</v>
      </c>
    </row>
    <row r="172" spans="1:9" ht="16.5" customHeight="1" thickBot="1" x14ac:dyDescent="0.4">
      <c r="A172" s="1" t="s">
        <v>13</v>
      </c>
      <c r="B172" s="1" t="s">
        <v>45</v>
      </c>
      <c r="C172" s="1" t="s">
        <v>24</v>
      </c>
      <c r="D172" s="1" t="s">
        <v>15</v>
      </c>
      <c r="E172" s="2">
        <v>845.84</v>
      </c>
      <c r="F172" s="2">
        <v>4</v>
      </c>
      <c r="G172" s="2">
        <v>0</v>
      </c>
      <c r="H172" s="3">
        <v>45707</v>
      </c>
      <c r="I172" s="2">
        <v>422.92</v>
      </c>
    </row>
    <row r="173" spans="1:9" ht="16.5" customHeight="1" thickBot="1" x14ac:dyDescent="0.4">
      <c r="A173" s="1" t="s">
        <v>30</v>
      </c>
      <c r="B173" s="1" t="s">
        <v>55</v>
      </c>
      <c r="C173" s="1" t="s">
        <v>11</v>
      </c>
      <c r="D173" s="1" t="s">
        <v>21</v>
      </c>
      <c r="E173" s="2">
        <v>1029.8</v>
      </c>
      <c r="F173" s="2">
        <v>3</v>
      </c>
      <c r="G173" s="2">
        <v>0</v>
      </c>
      <c r="H173" s="3">
        <v>45708</v>
      </c>
      <c r="I173" s="2">
        <v>257.45</v>
      </c>
    </row>
    <row r="174" spans="1:9" ht="16.5" customHeight="1" thickBot="1" x14ac:dyDescent="0.4">
      <c r="A174" s="1" t="s">
        <v>32</v>
      </c>
      <c r="B174" s="1" t="s">
        <v>31</v>
      </c>
      <c r="C174" s="1" t="s">
        <v>24</v>
      </c>
      <c r="D174" s="1" t="s">
        <v>12</v>
      </c>
      <c r="E174" s="2">
        <v>1189.83</v>
      </c>
      <c r="F174" s="2">
        <v>2</v>
      </c>
      <c r="G174" s="2">
        <v>0.2</v>
      </c>
      <c r="H174" s="3">
        <v>45709</v>
      </c>
      <c r="I174" s="2">
        <v>380.75</v>
      </c>
    </row>
    <row r="175" spans="1:9" ht="16.5" customHeight="1" thickBot="1" x14ac:dyDescent="0.4">
      <c r="A175" s="1" t="s">
        <v>67</v>
      </c>
      <c r="B175" s="1" t="s">
        <v>43</v>
      </c>
      <c r="C175" s="1" t="s">
        <v>20</v>
      </c>
      <c r="D175" s="1" t="s">
        <v>12</v>
      </c>
      <c r="E175" s="2">
        <v>704.28</v>
      </c>
      <c r="F175" s="2">
        <v>15</v>
      </c>
      <c r="G175" s="2">
        <v>0.2</v>
      </c>
      <c r="H175" s="3">
        <v>45712</v>
      </c>
      <c r="I175" s="2">
        <v>225.37</v>
      </c>
    </row>
    <row r="176" spans="1:9" ht="16.5" customHeight="1" thickBot="1" x14ac:dyDescent="0.4">
      <c r="A176" s="1" t="s">
        <v>65</v>
      </c>
      <c r="B176" s="1" t="s">
        <v>47</v>
      </c>
      <c r="C176" s="1" t="s">
        <v>34</v>
      </c>
      <c r="D176" s="1" t="s">
        <v>39</v>
      </c>
      <c r="E176" s="2">
        <v>1618.22</v>
      </c>
      <c r="F176" s="2">
        <v>12</v>
      </c>
      <c r="G176" s="2">
        <v>0.2</v>
      </c>
      <c r="H176" s="3">
        <v>45712</v>
      </c>
      <c r="I176" s="2">
        <v>582.55999999999995</v>
      </c>
    </row>
    <row r="177" spans="1:9" ht="16.5" customHeight="1" thickBot="1" x14ac:dyDescent="0.4">
      <c r="A177" s="1" t="s">
        <v>73</v>
      </c>
      <c r="B177" s="1" t="s">
        <v>53</v>
      </c>
      <c r="C177" s="1" t="s">
        <v>34</v>
      </c>
      <c r="D177" s="1" t="s">
        <v>12</v>
      </c>
      <c r="E177" s="2">
        <v>1014.43</v>
      </c>
      <c r="F177" s="2">
        <v>2</v>
      </c>
      <c r="G177" s="2">
        <v>0.15</v>
      </c>
      <c r="H177" s="3">
        <v>45713</v>
      </c>
      <c r="I177" s="2">
        <v>344.91</v>
      </c>
    </row>
    <row r="178" spans="1:9" ht="16.5" customHeight="1" thickBot="1" x14ac:dyDescent="0.4">
      <c r="A178" s="1" t="s">
        <v>75</v>
      </c>
      <c r="B178" s="1" t="s">
        <v>31</v>
      </c>
      <c r="C178" s="1" t="s">
        <v>34</v>
      </c>
      <c r="D178" s="1" t="s">
        <v>15</v>
      </c>
      <c r="E178" s="2">
        <v>826.97</v>
      </c>
      <c r="F178" s="2">
        <v>18</v>
      </c>
      <c r="G178" s="2">
        <v>0.2</v>
      </c>
      <c r="H178" s="3">
        <v>45715</v>
      </c>
      <c r="I178" s="2">
        <v>330.79</v>
      </c>
    </row>
    <row r="179" spans="1:9" ht="16.5" customHeight="1" thickBot="1" x14ac:dyDescent="0.4">
      <c r="A179" s="1" t="s">
        <v>16</v>
      </c>
      <c r="B179" s="1" t="s">
        <v>31</v>
      </c>
      <c r="C179" s="1" t="s">
        <v>34</v>
      </c>
      <c r="D179" s="1" t="s">
        <v>15</v>
      </c>
      <c r="E179" s="2">
        <v>1022.23</v>
      </c>
      <c r="F179" s="2">
        <v>8</v>
      </c>
      <c r="G179" s="2">
        <v>0.1</v>
      </c>
      <c r="H179" s="3">
        <v>45717</v>
      </c>
      <c r="I179" s="2">
        <v>460</v>
      </c>
    </row>
    <row r="180" spans="1:9" ht="16.5" customHeight="1" thickBot="1" x14ac:dyDescent="0.4">
      <c r="A180" s="1" t="s">
        <v>72</v>
      </c>
      <c r="B180" s="1" t="s">
        <v>29</v>
      </c>
      <c r="C180" s="1" t="s">
        <v>18</v>
      </c>
      <c r="D180" s="1" t="s">
        <v>12</v>
      </c>
      <c r="E180" s="2">
        <v>1099.69</v>
      </c>
      <c r="F180" s="2">
        <v>6</v>
      </c>
      <c r="G180" s="2">
        <v>0</v>
      </c>
      <c r="H180" s="3">
        <v>45718</v>
      </c>
      <c r="I180" s="2">
        <v>439.88</v>
      </c>
    </row>
    <row r="181" spans="1:9" ht="16.5" customHeight="1" thickBot="1" x14ac:dyDescent="0.4">
      <c r="A181" s="1" t="s">
        <v>52</v>
      </c>
      <c r="B181" s="1" t="s">
        <v>64</v>
      </c>
      <c r="C181" s="1" t="s">
        <v>24</v>
      </c>
      <c r="D181" s="1" t="s">
        <v>12</v>
      </c>
      <c r="E181" s="2">
        <v>710.52</v>
      </c>
      <c r="F181" s="2">
        <v>8</v>
      </c>
      <c r="G181" s="2">
        <v>0.1</v>
      </c>
      <c r="H181" s="3">
        <v>45721</v>
      </c>
      <c r="I181" s="2">
        <v>255.79</v>
      </c>
    </row>
    <row r="182" spans="1:9" ht="16.5" customHeight="1" thickBot="1" x14ac:dyDescent="0.4">
      <c r="A182" s="1" t="s">
        <v>52</v>
      </c>
      <c r="B182" s="1" t="s">
        <v>59</v>
      </c>
      <c r="C182" s="1" t="s">
        <v>24</v>
      </c>
      <c r="D182" s="1" t="s">
        <v>12</v>
      </c>
      <c r="E182" s="2">
        <v>499.18</v>
      </c>
      <c r="F182" s="2">
        <v>15</v>
      </c>
      <c r="G182" s="2">
        <v>0.2</v>
      </c>
      <c r="H182" s="3">
        <v>45724</v>
      </c>
      <c r="I182" s="2">
        <v>159.74</v>
      </c>
    </row>
    <row r="183" spans="1:9" ht="16.5" customHeight="1" thickBot="1" x14ac:dyDescent="0.4">
      <c r="A183" s="1" t="s">
        <v>37</v>
      </c>
      <c r="B183" s="1" t="s">
        <v>38</v>
      </c>
      <c r="C183" s="1" t="s">
        <v>20</v>
      </c>
      <c r="D183" s="1" t="s">
        <v>12</v>
      </c>
      <c r="E183" s="2">
        <v>1064.19</v>
      </c>
      <c r="F183" s="2">
        <v>18</v>
      </c>
      <c r="G183" s="2">
        <v>0.05</v>
      </c>
      <c r="H183" s="3">
        <v>45725</v>
      </c>
      <c r="I183" s="2">
        <v>404.39</v>
      </c>
    </row>
    <row r="184" spans="1:9" ht="16.5" customHeight="1" thickBot="1" x14ac:dyDescent="0.4">
      <c r="A184" s="1" t="s">
        <v>67</v>
      </c>
      <c r="B184" s="1" t="s">
        <v>38</v>
      </c>
      <c r="C184" s="1" t="s">
        <v>18</v>
      </c>
      <c r="D184" s="1" t="s">
        <v>39</v>
      </c>
      <c r="E184" s="2">
        <v>438.76</v>
      </c>
      <c r="F184" s="2">
        <v>18</v>
      </c>
      <c r="G184" s="2">
        <v>0.05</v>
      </c>
      <c r="H184" s="3">
        <v>45726</v>
      </c>
      <c r="I184" s="2">
        <v>187.57</v>
      </c>
    </row>
    <row r="185" spans="1:9" ht="16.5" customHeight="1" thickBot="1" x14ac:dyDescent="0.4">
      <c r="A185" s="1" t="s">
        <v>41</v>
      </c>
      <c r="B185" s="1" t="s">
        <v>55</v>
      </c>
      <c r="C185" s="1" t="s">
        <v>11</v>
      </c>
      <c r="D185" s="1" t="s">
        <v>15</v>
      </c>
      <c r="E185" s="2">
        <v>864.98</v>
      </c>
      <c r="F185" s="2">
        <v>2</v>
      </c>
      <c r="G185" s="2">
        <v>0.05</v>
      </c>
      <c r="H185" s="3">
        <v>45727</v>
      </c>
      <c r="I185" s="2">
        <v>410.87</v>
      </c>
    </row>
    <row r="186" spans="1:9" ht="16.5" customHeight="1" thickBot="1" x14ac:dyDescent="0.4">
      <c r="A186" s="1" t="s">
        <v>57</v>
      </c>
      <c r="B186" s="1" t="s">
        <v>55</v>
      </c>
      <c r="C186" s="1" t="s">
        <v>11</v>
      </c>
      <c r="D186" s="1" t="s">
        <v>27</v>
      </c>
      <c r="E186" s="2">
        <v>984.93</v>
      </c>
      <c r="F186" s="2">
        <v>14</v>
      </c>
      <c r="G186" s="2">
        <v>0.2</v>
      </c>
      <c r="H186" s="3">
        <v>45733</v>
      </c>
      <c r="I186" s="2">
        <v>275.77999999999997</v>
      </c>
    </row>
    <row r="187" spans="1:9" ht="16.5" customHeight="1" thickBot="1" x14ac:dyDescent="0.4">
      <c r="A187" s="1" t="s">
        <v>25</v>
      </c>
      <c r="B187" s="1" t="s">
        <v>55</v>
      </c>
      <c r="C187" s="1" t="s">
        <v>11</v>
      </c>
      <c r="D187" s="1" t="s">
        <v>15</v>
      </c>
      <c r="E187" s="2">
        <v>1493.49</v>
      </c>
      <c r="F187" s="2">
        <v>18</v>
      </c>
      <c r="G187" s="2">
        <v>0</v>
      </c>
      <c r="H187" s="3">
        <v>45734</v>
      </c>
      <c r="I187" s="2">
        <v>746.74</v>
      </c>
    </row>
    <row r="188" spans="1:9" ht="16.5" customHeight="1" thickBot="1" x14ac:dyDescent="0.4">
      <c r="A188" s="1" t="s">
        <v>32</v>
      </c>
      <c r="B188" s="1" t="s">
        <v>53</v>
      </c>
      <c r="C188" s="1" t="s">
        <v>20</v>
      </c>
      <c r="D188" s="1" t="s">
        <v>15</v>
      </c>
      <c r="E188" s="2">
        <v>689.43</v>
      </c>
      <c r="F188" s="2">
        <v>9</v>
      </c>
      <c r="G188" s="2">
        <v>0.1</v>
      </c>
      <c r="H188" s="3">
        <v>45736</v>
      </c>
      <c r="I188" s="2">
        <v>310.24</v>
      </c>
    </row>
    <row r="189" spans="1:9" ht="16.5" customHeight="1" thickBot="1" x14ac:dyDescent="0.4">
      <c r="A189" s="1" t="s">
        <v>40</v>
      </c>
      <c r="B189" s="1" t="s">
        <v>59</v>
      </c>
      <c r="C189" s="1" t="s">
        <v>20</v>
      </c>
      <c r="D189" s="1" t="s">
        <v>15</v>
      </c>
      <c r="E189" s="2">
        <v>682.24</v>
      </c>
      <c r="F189" s="2">
        <v>1</v>
      </c>
      <c r="G189" s="2">
        <v>0</v>
      </c>
      <c r="H189" s="3">
        <v>45738</v>
      </c>
      <c r="I189" s="2">
        <v>341.12</v>
      </c>
    </row>
    <row r="190" spans="1:9" ht="16.5" customHeight="1" thickBot="1" x14ac:dyDescent="0.4">
      <c r="A190" s="1" t="s">
        <v>41</v>
      </c>
      <c r="B190" s="1" t="s">
        <v>26</v>
      </c>
      <c r="C190" s="1" t="s">
        <v>24</v>
      </c>
      <c r="D190" s="1" t="s">
        <v>21</v>
      </c>
      <c r="E190" s="2">
        <v>458.54</v>
      </c>
      <c r="F190" s="2">
        <v>15</v>
      </c>
      <c r="G190" s="2">
        <v>0.2</v>
      </c>
      <c r="H190" s="3">
        <v>45741</v>
      </c>
      <c r="I190" s="2">
        <v>91.71</v>
      </c>
    </row>
    <row r="191" spans="1:9" ht="16.5" customHeight="1" thickBot="1" x14ac:dyDescent="0.4">
      <c r="A191" s="1" t="s">
        <v>32</v>
      </c>
      <c r="B191" s="1" t="s">
        <v>26</v>
      </c>
      <c r="C191" s="1" t="s">
        <v>20</v>
      </c>
      <c r="D191" s="1" t="s">
        <v>27</v>
      </c>
      <c r="E191" s="2">
        <v>1184.25</v>
      </c>
      <c r="F191" s="2">
        <v>11</v>
      </c>
      <c r="G191" s="2">
        <v>0.2</v>
      </c>
      <c r="H191" s="3">
        <v>45742</v>
      </c>
      <c r="I191" s="2">
        <v>331.59</v>
      </c>
    </row>
    <row r="192" spans="1:9" ht="16.5" customHeight="1" thickBot="1" x14ac:dyDescent="0.4">
      <c r="A192" s="1" t="s">
        <v>25</v>
      </c>
      <c r="B192" s="1" t="s">
        <v>10</v>
      </c>
      <c r="C192" s="1" t="s">
        <v>20</v>
      </c>
      <c r="D192" s="1" t="s">
        <v>15</v>
      </c>
      <c r="E192" s="2">
        <v>762.14</v>
      </c>
      <c r="F192" s="2">
        <v>9</v>
      </c>
      <c r="G192" s="2">
        <v>0</v>
      </c>
      <c r="H192" s="3">
        <v>45743</v>
      </c>
      <c r="I192" s="2">
        <v>381.07</v>
      </c>
    </row>
    <row r="193" spans="1:9" ht="16.5" customHeight="1" thickBot="1" x14ac:dyDescent="0.4">
      <c r="A193" s="1" t="s">
        <v>22</v>
      </c>
      <c r="B193" s="1" t="s">
        <v>53</v>
      </c>
      <c r="C193" s="1" t="s">
        <v>24</v>
      </c>
      <c r="D193" s="1" t="s">
        <v>12</v>
      </c>
      <c r="E193" s="2">
        <v>750.71</v>
      </c>
      <c r="F193" s="2">
        <v>10</v>
      </c>
      <c r="G193" s="2">
        <v>0.15</v>
      </c>
      <c r="H193" s="3">
        <v>45743</v>
      </c>
      <c r="I193" s="2">
        <v>255.24</v>
      </c>
    </row>
    <row r="194" spans="1:9" ht="16.5" customHeight="1" thickBot="1" x14ac:dyDescent="0.4">
      <c r="A194" s="1" t="s">
        <v>75</v>
      </c>
      <c r="B194" s="1" t="s">
        <v>71</v>
      </c>
      <c r="C194" s="1" t="s">
        <v>34</v>
      </c>
      <c r="D194" s="1" t="s">
        <v>15</v>
      </c>
      <c r="E194" s="2">
        <v>1456.94</v>
      </c>
      <c r="F194" s="2">
        <v>14</v>
      </c>
      <c r="G194" s="2">
        <v>0.05</v>
      </c>
      <c r="H194" s="3">
        <v>45745</v>
      </c>
      <c r="I194" s="2">
        <v>692.05</v>
      </c>
    </row>
    <row r="195" spans="1:9" ht="16.5" customHeight="1" thickBot="1" x14ac:dyDescent="0.4">
      <c r="A195" s="1" t="s">
        <v>44</v>
      </c>
      <c r="B195" s="1" t="s">
        <v>61</v>
      </c>
      <c r="C195" s="1" t="s">
        <v>18</v>
      </c>
      <c r="D195" s="1" t="s">
        <v>27</v>
      </c>
      <c r="E195" s="2">
        <v>1093.3800000000001</v>
      </c>
      <c r="F195" s="2">
        <v>17</v>
      </c>
      <c r="G195" s="2">
        <v>0.1</v>
      </c>
      <c r="H195" s="3">
        <v>45745</v>
      </c>
      <c r="I195" s="2">
        <v>344.41</v>
      </c>
    </row>
    <row r="196" spans="1:9" ht="16.5" customHeight="1" thickBot="1" x14ac:dyDescent="0.4">
      <c r="A196" s="1" t="s">
        <v>37</v>
      </c>
      <c r="B196" s="1" t="s">
        <v>43</v>
      </c>
      <c r="C196" s="1" t="s">
        <v>11</v>
      </c>
      <c r="D196" s="1" t="s">
        <v>15</v>
      </c>
      <c r="E196" s="2">
        <v>934.27</v>
      </c>
      <c r="F196" s="2">
        <v>8</v>
      </c>
      <c r="G196" s="2">
        <v>0.15</v>
      </c>
      <c r="H196" s="3">
        <v>45746</v>
      </c>
      <c r="I196" s="2">
        <v>397.06</v>
      </c>
    </row>
    <row r="197" spans="1:9" ht="16.5" customHeight="1" thickBot="1" x14ac:dyDescent="0.4">
      <c r="A197" s="1" t="s">
        <v>70</v>
      </c>
      <c r="B197" s="1" t="s">
        <v>36</v>
      </c>
      <c r="C197" s="1" t="s">
        <v>34</v>
      </c>
      <c r="D197" s="1" t="s">
        <v>15</v>
      </c>
      <c r="E197" s="2">
        <v>1465.35</v>
      </c>
      <c r="F197" s="2">
        <v>8</v>
      </c>
      <c r="G197" s="2">
        <v>0.2</v>
      </c>
      <c r="H197" s="3">
        <v>45746</v>
      </c>
      <c r="I197" s="2">
        <v>586.14</v>
      </c>
    </row>
    <row r="198" spans="1:9" ht="16.5" customHeight="1" thickBot="1" x14ac:dyDescent="0.4">
      <c r="A198" s="1" t="s">
        <v>52</v>
      </c>
      <c r="B198" s="1" t="s">
        <v>14</v>
      </c>
      <c r="C198" s="1" t="s">
        <v>20</v>
      </c>
      <c r="D198" s="1" t="s">
        <v>39</v>
      </c>
      <c r="E198" s="2">
        <v>740.8</v>
      </c>
      <c r="F198" s="2">
        <v>3</v>
      </c>
      <c r="G198" s="2">
        <v>0</v>
      </c>
      <c r="H198" s="3">
        <v>45749</v>
      </c>
      <c r="I198" s="2">
        <v>333.36</v>
      </c>
    </row>
    <row r="199" spans="1:9" ht="16.5" customHeight="1" thickBot="1" x14ac:dyDescent="0.4">
      <c r="A199" s="1" t="s">
        <v>58</v>
      </c>
      <c r="B199" s="1" t="s">
        <v>43</v>
      </c>
      <c r="C199" s="1" t="s">
        <v>11</v>
      </c>
      <c r="D199" s="1" t="s">
        <v>39</v>
      </c>
      <c r="E199" s="2">
        <v>545.44000000000005</v>
      </c>
      <c r="F199" s="2">
        <v>17</v>
      </c>
      <c r="G199" s="2">
        <v>0</v>
      </c>
      <c r="H199" s="3">
        <v>45752</v>
      </c>
      <c r="I199" s="2">
        <v>245.45</v>
      </c>
    </row>
    <row r="200" spans="1:9" ht="16.5" customHeight="1" thickBot="1" x14ac:dyDescent="0.4">
      <c r="A200" s="1" t="s">
        <v>35</v>
      </c>
      <c r="B200" s="1" t="s">
        <v>36</v>
      </c>
      <c r="C200" s="1" t="s">
        <v>18</v>
      </c>
      <c r="D200" s="1" t="s">
        <v>12</v>
      </c>
      <c r="E200" s="2">
        <v>997.61</v>
      </c>
      <c r="F200" s="2">
        <v>8</v>
      </c>
      <c r="G200" s="2">
        <v>0.05</v>
      </c>
      <c r="H200" s="3">
        <v>45752</v>
      </c>
      <c r="I200" s="2">
        <v>379.09</v>
      </c>
    </row>
    <row r="201" spans="1:9" ht="16.5" customHeight="1" thickBot="1" x14ac:dyDescent="0.4">
      <c r="A201" s="1" t="s">
        <v>60</v>
      </c>
      <c r="B201" s="1" t="s">
        <v>36</v>
      </c>
      <c r="C201" s="1" t="s">
        <v>20</v>
      </c>
      <c r="D201" s="1" t="s">
        <v>15</v>
      </c>
      <c r="E201" s="2">
        <v>928.32</v>
      </c>
      <c r="F201" s="2">
        <v>2</v>
      </c>
      <c r="G201" s="2">
        <v>0.05</v>
      </c>
      <c r="H201" s="3">
        <v>45754</v>
      </c>
      <c r="I201" s="2">
        <v>440.95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40CFE-1789-4C36-BD7D-8566DA7A33AA}">
  <dimension ref="A1:J201"/>
  <sheetViews>
    <sheetView workbookViewId="0">
      <selection activeCell="O9" sqref="O9"/>
    </sheetView>
  </sheetViews>
  <sheetFormatPr defaultRowHeight="14.5" x14ac:dyDescent="0.35"/>
  <cols>
    <col min="1" max="1" width="13.81640625" customWidth="1"/>
    <col min="2" max="2" width="16.90625" customWidth="1"/>
    <col min="4" max="4" width="17.90625" customWidth="1"/>
    <col min="6" max="7" width="10.1796875" customWidth="1"/>
    <col min="8" max="8" width="12.7265625" customWidth="1"/>
  </cols>
  <sheetData>
    <row r="1" spans="1:10" x14ac:dyDescent="0.35">
      <c r="A1" t="s">
        <v>0</v>
      </c>
      <c r="B1" t="s">
        <v>1</v>
      </c>
      <c r="C1" t="s">
        <v>2</v>
      </c>
      <c r="D1" t="s">
        <v>3</v>
      </c>
      <c r="E1" t="s">
        <v>4</v>
      </c>
      <c r="F1" t="s">
        <v>5</v>
      </c>
      <c r="G1" t="s">
        <v>6</v>
      </c>
      <c r="H1" t="s">
        <v>7</v>
      </c>
      <c r="I1" t="s">
        <v>8</v>
      </c>
      <c r="J1" t="s">
        <v>118</v>
      </c>
    </row>
    <row r="2" spans="1:10" x14ac:dyDescent="0.35">
      <c r="A2" t="s">
        <v>9</v>
      </c>
      <c r="B2" t="s">
        <v>10</v>
      </c>
      <c r="C2" t="s">
        <v>11</v>
      </c>
      <c r="D2" t="s">
        <v>12</v>
      </c>
      <c r="E2">
        <v>1036.0899999999999</v>
      </c>
      <c r="F2">
        <v>4</v>
      </c>
      <c r="G2">
        <v>0.2</v>
      </c>
      <c r="H2" s="51">
        <v>45392</v>
      </c>
      <c r="I2">
        <v>331.55</v>
      </c>
      <c r="J2" t="s">
        <v>119</v>
      </c>
    </row>
    <row r="3" spans="1:10" x14ac:dyDescent="0.35">
      <c r="A3" t="s">
        <v>13</v>
      </c>
      <c r="B3" t="s">
        <v>14</v>
      </c>
      <c r="C3" t="s">
        <v>11</v>
      </c>
      <c r="D3" t="s">
        <v>15</v>
      </c>
      <c r="E3">
        <v>1101.28</v>
      </c>
      <c r="F3">
        <v>3</v>
      </c>
      <c r="G3">
        <v>0.2</v>
      </c>
      <c r="H3" s="51">
        <v>45393</v>
      </c>
      <c r="I3">
        <v>440.51</v>
      </c>
      <c r="J3" t="s">
        <v>119</v>
      </c>
    </row>
    <row r="4" spans="1:10" x14ac:dyDescent="0.35">
      <c r="A4" t="s">
        <v>16</v>
      </c>
      <c r="B4" t="s">
        <v>17</v>
      </c>
      <c r="C4" t="s">
        <v>18</v>
      </c>
      <c r="D4" t="s">
        <v>12</v>
      </c>
      <c r="E4">
        <v>713.34</v>
      </c>
      <c r="F4">
        <v>17</v>
      </c>
      <c r="G4">
        <v>0</v>
      </c>
      <c r="H4" s="51">
        <v>45396</v>
      </c>
      <c r="I4">
        <v>285.33999999999997</v>
      </c>
      <c r="J4" t="s">
        <v>119</v>
      </c>
    </row>
    <row r="5" spans="1:10" x14ac:dyDescent="0.35">
      <c r="A5" t="s">
        <v>19</v>
      </c>
      <c r="B5" t="s">
        <v>14</v>
      </c>
      <c r="C5" t="s">
        <v>20</v>
      </c>
      <c r="D5" t="s">
        <v>21</v>
      </c>
      <c r="E5">
        <v>760.93</v>
      </c>
      <c r="F5">
        <v>4</v>
      </c>
      <c r="G5">
        <v>0.15</v>
      </c>
      <c r="H5" s="51">
        <v>45396</v>
      </c>
      <c r="I5">
        <v>161.69999999999999</v>
      </c>
      <c r="J5" t="s">
        <v>119</v>
      </c>
    </row>
    <row r="6" spans="1:10" x14ac:dyDescent="0.35">
      <c r="A6" t="s">
        <v>22</v>
      </c>
      <c r="B6" t="s">
        <v>23</v>
      </c>
      <c r="C6" t="s">
        <v>24</v>
      </c>
      <c r="D6" t="s">
        <v>12</v>
      </c>
      <c r="E6">
        <v>847</v>
      </c>
      <c r="F6">
        <v>12</v>
      </c>
      <c r="G6">
        <v>0.2</v>
      </c>
      <c r="H6" s="51">
        <v>45397</v>
      </c>
      <c r="I6">
        <v>271.04000000000002</v>
      </c>
      <c r="J6" t="s">
        <v>119</v>
      </c>
    </row>
    <row r="7" spans="1:10" x14ac:dyDescent="0.35">
      <c r="A7" t="s">
        <v>25</v>
      </c>
      <c r="B7" t="s">
        <v>26</v>
      </c>
      <c r="C7" t="s">
        <v>24</v>
      </c>
      <c r="D7" t="s">
        <v>27</v>
      </c>
      <c r="E7">
        <v>965.64</v>
      </c>
      <c r="F7">
        <v>8</v>
      </c>
      <c r="G7">
        <v>0.1</v>
      </c>
      <c r="H7" s="51">
        <v>45398</v>
      </c>
      <c r="I7">
        <v>304.18</v>
      </c>
      <c r="J7" t="s">
        <v>119</v>
      </c>
    </row>
    <row r="8" spans="1:10" x14ac:dyDescent="0.35">
      <c r="A8" t="s">
        <v>28</v>
      </c>
      <c r="B8" t="s">
        <v>29</v>
      </c>
      <c r="C8" t="s">
        <v>11</v>
      </c>
      <c r="D8" t="s">
        <v>21</v>
      </c>
      <c r="E8">
        <v>1317.53</v>
      </c>
      <c r="F8">
        <v>12</v>
      </c>
      <c r="G8">
        <v>0.05</v>
      </c>
      <c r="H8" s="51">
        <v>45398</v>
      </c>
      <c r="I8">
        <v>312.91000000000003</v>
      </c>
      <c r="J8" t="s">
        <v>119</v>
      </c>
    </row>
    <row r="9" spans="1:10" x14ac:dyDescent="0.35">
      <c r="A9" t="s">
        <v>30</v>
      </c>
      <c r="B9" t="s">
        <v>31</v>
      </c>
      <c r="C9" t="s">
        <v>18</v>
      </c>
      <c r="D9" t="s">
        <v>27</v>
      </c>
      <c r="E9">
        <v>1074.47</v>
      </c>
      <c r="F9">
        <v>6</v>
      </c>
      <c r="G9">
        <v>0.2</v>
      </c>
      <c r="H9" s="51">
        <v>45401</v>
      </c>
      <c r="I9">
        <v>300.85000000000002</v>
      </c>
      <c r="J9" t="s">
        <v>119</v>
      </c>
    </row>
    <row r="10" spans="1:10" x14ac:dyDescent="0.35">
      <c r="A10" t="s">
        <v>32</v>
      </c>
      <c r="B10" t="s">
        <v>33</v>
      </c>
      <c r="C10" t="s">
        <v>34</v>
      </c>
      <c r="D10" t="s">
        <v>12</v>
      </c>
      <c r="E10">
        <v>501.54</v>
      </c>
      <c r="F10">
        <v>11</v>
      </c>
      <c r="G10">
        <v>0.05</v>
      </c>
      <c r="H10" s="51">
        <v>45401</v>
      </c>
      <c r="I10">
        <v>190.59</v>
      </c>
      <c r="J10" t="s">
        <v>119</v>
      </c>
    </row>
    <row r="11" spans="1:10" x14ac:dyDescent="0.35">
      <c r="A11" t="s">
        <v>35</v>
      </c>
      <c r="B11" t="s">
        <v>36</v>
      </c>
      <c r="C11" t="s">
        <v>34</v>
      </c>
      <c r="D11" t="s">
        <v>15</v>
      </c>
      <c r="E11">
        <v>737.31</v>
      </c>
      <c r="F11">
        <v>2</v>
      </c>
      <c r="G11">
        <v>0.05</v>
      </c>
      <c r="H11" s="51">
        <v>45401</v>
      </c>
      <c r="I11">
        <v>350.22</v>
      </c>
      <c r="J11" t="s">
        <v>119</v>
      </c>
    </row>
    <row r="12" spans="1:10" x14ac:dyDescent="0.35">
      <c r="A12" t="s">
        <v>37</v>
      </c>
      <c r="B12" t="s">
        <v>38</v>
      </c>
      <c r="C12" t="s">
        <v>11</v>
      </c>
      <c r="D12" t="s">
        <v>39</v>
      </c>
      <c r="E12">
        <v>1572.82</v>
      </c>
      <c r="F12">
        <v>6</v>
      </c>
      <c r="G12">
        <v>0.05</v>
      </c>
      <c r="H12" s="51">
        <v>45402</v>
      </c>
      <c r="I12">
        <v>672.38</v>
      </c>
      <c r="J12" t="s">
        <v>119</v>
      </c>
    </row>
    <row r="13" spans="1:10" x14ac:dyDescent="0.35">
      <c r="A13" t="s">
        <v>37</v>
      </c>
      <c r="B13" t="s">
        <v>36</v>
      </c>
      <c r="C13" t="s">
        <v>34</v>
      </c>
      <c r="D13" t="s">
        <v>12</v>
      </c>
      <c r="E13">
        <v>1343.13</v>
      </c>
      <c r="F13">
        <v>14</v>
      </c>
      <c r="G13">
        <v>0.15</v>
      </c>
      <c r="H13" s="51">
        <v>45404</v>
      </c>
      <c r="I13">
        <v>456.66</v>
      </c>
      <c r="J13" t="s">
        <v>119</v>
      </c>
    </row>
    <row r="14" spans="1:10" x14ac:dyDescent="0.35">
      <c r="A14" t="s">
        <v>25</v>
      </c>
      <c r="B14" t="s">
        <v>26</v>
      </c>
      <c r="C14" t="s">
        <v>34</v>
      </c>
      <c r="D14" t="s">
        <v>12</v>
      </c>
      <c r="E14">
        <v>1191.58</v>
      </c>
      <c r="F14">
        <v>14</v>
      </c>
      <c r="G14">
        <v>0.05</v>
      </c>
      <c r="H14" s="51">
        <v>45406</v>
      </c>
      <c r="I14">
        <v>452.8</v>
      </c>
      <c r="J14" t="s">
        <v>119</v>
      </c>
    </row>
    <row r="15" spans="1:10" x14ac:dyDescent="0.35">
      <c r="A15" t="s">
        <v>40</v>
      </c>
      <c r="B15" t="s">
        <v>14</v>
      </c>
      <c r="C15" t="s">
        <v>11</v>
      </c>
      <c r="D15" t="s">
        <v>27</v>
      </c>
      <c r="E15">
        <v>822.28</v>
      </c>
      <c r="F15">
        <v>7</v>
      </c>
      <c r="G15">
        <v>0.05</v>
      </c>
      <c r="H15" s="51">
        <v>45406</v>
      </c>
      <c r="I15">
        <v>273.41000000000003</v>
      </c>
      <c r="J15" t="s">
        <v>119</v>
      </c>
    </row>
    <row r="16" spans="1:10" x14ac:dyDescent="0.35">
      <c r="A16" t="s">
        <v>41</v>
      </c>
      <c r="B16" t="s">
        <v>42</v>
      </c>
      <c r="C16" t="s">
        <v>24</v>
      </c>
      <c r="D16" t="s">
        <v>27</v>
      </c>
      <c r="E16">
        <v>521.66999999999996</v>
      </c>
      <c r="F16">
        <v>15</v>
      </c>
      <c r="G16">
        <v>0.15</v>
      </c>
      <c r="H16" s="51">
        <v>45409</v>
      </c>
      <c r="I16">
        <v>155.19999999999999</v>
      </c>
      <c r="J16" t="s">
        <v>119</v>
      </c>
    </row>
    <row r="17" spans="1:10" x14ac:dyDescent="0.35">
      <c r="A17" t="s">
        <v>19</v>
      </c>
      <c r="B17" t="s">
        <v>43</v>
      </c>
      <c r="C17" t="s">
        <v>20</v>
      </c>
      <c r="D17" t="s">
        <v>21</v>
      </c>
      <c r="E17">
        <v>1502.93</v>
      </c>
      <c r="F17">
        <v>14</v>
      </c>
      <c r="G17">
        <v>0.2</v>
      </c>
      <c r="H17" s="51">
        <v>45410</v>
      </c>
      <c r="I17">
        <v>300.58999999999997</v>
      </c>
      <c r="J17" t="s">
        <v>119</v>
      </c>
    </row>
    <row r="18" spans="1:10" x14ac:dyDescent="0.35">
      <c r="A18" t="s">
        <v>44</v>
      </c>
      <c r="B18" t="s">
        <v>14</v>
      </c>
      <c r="C18" t="s">
        <v>20</v>
      </c>
      <c r="D18" t="s">
        <v>12</v>
      </c>
      <c r="E18">
        <v>877.58</v>
      </c>
      <c r="F18">
        <v>10</v>
      </c>
      <c r="G18">
        <v>0.15</v>
      </c>
      <c r="H18" s="51">
        <v>45411</v>
      </c>
      <c r="I18">
        <v>298.38</v>
      </c>
      <c r="J18" t="s">
        <v>119</v>
      </c>
    </row>
    <row r="19" spans="1:10" x14ac:dyDescent="0.35">
      <c r="A19" t="s">
        <v>28</v>
      </c>
      <c r="B19" t="s">
        <v>45</v>
      </c>
      <c r="C19" t="s">
        <v>11</v>
      </c>
      <c r="D19" t="s">
        <v>12</v>
      </c>
      <c r="E19">
        <v>636.70000000000005</v>
      </c>
      <c r="F19">
        <v>4</v>
      </c>
      <c r="G19">
        <v>0.2</v>
      </c>
      <c r="H19" s="51">
        <v>45411</v>
      </c>
      <c r="I19">
        <v>203.74</v>
      </c>
      <c r="J19" t="s">
        <v>119</v>
      </c>
    </row>
    <row r="20" spans="1:10" x14ac:dyDescent="0.35">
      <c r="A20" t="s">
        <v>46</v>
      </c>
      <c r="B20" t="s">
        <v>47</v>
      </c>
      <c r="C20" t="s">
        <v>11</v>
      </c>
      <c r="D20" t="s">
        <v>12</v>
      </c>
      <c r="E20">
        <v>1506.14</v>
      </c>
      <c r="F20">
        <v>13</v>
      </c>
      <c r="G20">
        <v>0.2</v>
      </c>
      <c r="H20" s="51">
        <v>45412</v>
      </c>
      <c r="I20">
        <v>481.96</v>
      </c>
      <c r="J20" t="s">
        <v>119</v>
      </c>
    </row>
    <row r="21" spans="1:10" x14ac:dyDescent="0.35">
      <c r="A21" t="s">
        <v>52</v>
      </c>
      <c r="B21" t="s">
        <v>14</v>
      </c>
      <c r="C21" t="s">
        <v>20</v>
      </c>
      <c r="D21" t="s">
        <v>39</v>
      </c>
      <c r="E21">
        <v>740.8</v>
      </c>
      <c r="F21">
        <v>3</v>
      </c>
      <c r="G21">
        <v>0</v>
      </c>
      <c r="H21" s="51">
        <v>45749</v>
      </c>
      <c r="I21">
        <v>333.36</v>
      </c>
      <c r="J21" t="s">
        <v>120</v>
      </c>
    </row>
    <row r="22" spans="1:10" x14ac:dyDescent="0.35">
      <c r="A22" t="s">
        <v>58</v>
      </c>
      <c r="B22" t="s">
        <v>43</v>
      </c>
      <c r="C22" t="s">
        <v>11</v>
      </c>
      <c r="D22" t="s">
        <v>39</v>
      </c>
      <c r="E22">
        <v>545.44000000000005</v>
      </c>
      <c r="F22">
        <v>17</v>
      </c>
      <c r="G22">
        <v>0</v>
      </c>
      <c r="H22" s="51">
        <v>45752</v>
      </c>
      <c r="I22">
        <v>245.45</v>
      </c>
      <c r="J22" t="s">
        <v>120</v>
      </c>
    </row>
    <row r="23" spans="1:10" x14ac:dyDescent="0.35">
      <c r="A23" t="s">
        <v>35</v>
      </c>
      <c r="B23" t="s">
        <v>36</v>
      </c>
      <c r="C23" t="s">
        <v>18</v>
      </c>
      <c r="D23" t="s">
        <v>12</v>
      </c>
      <c r="E23">
        <v>997.61</v>
      </c>
      <c r="F23">
        <v>8</v>
      </c>
      <c r="G23">
        <v>0.05</v>
      </c>
      <c r="H23" s="51">
        <v>45752</v>
      </c>
      <c r="I23">
        <v>379.09</v>
      </c>
      <c r="J23" t="s">
        <v>120</v>
      </c>
    </row>
    <row r="24" spans="1:10" x14ac:dyDescent="0.35">
      <c r="A24" t="s">
        <v>60</v>
      </c>
      <c r="B24" t="s">
        <v>36</v>
      </c>
      <c r="C24" t="s">
        <v>20</v>
      </c>
      <c r="D24" t="s">
        <v>15</v>
      </c>
      <c r="E24">
        <v>928.32</v>
      </c>
      <c r="F24">
        <v>2</v>
      </c>
      <c r="G24">
        <v>0.05</v>
      </c>
      <c r="H24" s="51">
        <v>45754</v>
      </c>
      <c r="I24">
        <v>440.95</v>
      </c>
      <c r="J24" t="s">
        <v>120</v>
      </c>
    </row>
    <row r="25" spans="1:10" x14ac:dyDescent="0.35">
      <c r="A25" t="s">
        <v>70</v>
      </c>
      <c r="B25" t="s">
        <v>55</v>
      </c>
      <c r="C25" t="s">
        <v>18</v>
      </c>
      <c r="D25" t="s">
        <v>21</v>
      </c>
      <c r="E25">
        <v>539.77</v>
      </c>
      <c r="F25">
        <v>10</v>
      </c>
      <c r="G25">
        <v>0.15</v>
      </c>
      <c r="H25" s="51">
        <v>45509</v>
      </c>
      <c r="I25">
        <v>114.7</v>
      </c>
      <c r="J25" t="s">
        <v>121</v>
      </c>
    </row>
    <row r="26" spans="1:10" x14ac:dyDescent="0.35">
      <c r="A26" t="s">
        <v>13</v>
      </c>
      <c r="B26" t="s">
        <v>71</v>
      </c>
      <c r="C26" t="s">
        <v>20</v>
      </c>
      <c r="D26" t="s">
        <v>12</v>
      </c>
      <c r="E26">
        <v>804.45</v>
      </c>
      <c r="F26">
        <v>5</v>
      </c>
      <c r="G26">
        <v>0.2</v>
      </c>
      <c r="H26" s="51">
        <v>45509</v>
      </c>
      <c r="I26">
        <v>257.42</v>
      </c>
      <c r="J26" t="s">
        <v>121</v>
      </c>
    </row>
    <row r="27" spans="1:10" x14ac:dyDescent="0.35">
      <c r="A27" t="s">
        <v>70</v>
      </c>
      <c r="B27" t="s">
        <v>38</v>
      </c>
      <c r="C27" t="s">
        <v>11</v>
      </c>
      <c r="D27" t="s">
        <v>21</v>
      </c>
      <c r="E27">
        <v>1526.6</v>
      </c>
      <c r="F27">
        <v>13</v>
      </c>
      <c r="G27">
        <v>0.2</v>
      </c>
      <c r="H27" s="51">
        <v>45512</v>
      </c>
      <c r="I27">
        <v>305.32</v>
      </c>
      <c r="J27" t="s">
        <v>121</v>
      </c>
    </row>
    <row r="28" spans="1:10" x14ac:dyDescent="0.35">
      <c r="A28" t="s">
        <v>13</v>
      </c>
      <c r="B28" t="s">
        <v>29</v>
      </c>
      <c r="C28" t="s">
        <v>11</v>
      </c>
      <c r="D28" t="s">
        <v>21</v>
      </c>
      <c r="E28">
        <v>1215.26</v>
      </c>
      <c r="F28">
        <v>5</v>
      </c>
      <c r="G28">
        <v>0.15</v>
      </c>
      <c r="H28" s="51">
        <v>45513</v>
      </c>
      <c r="I28">
        <v>258.24</v>
      </c>
      <c r="J28" t="s">
        <v>121</v>
      </c>
    </row>
    <row r="29" spans="1:10" x14ac:dyDescent="0.35">
      <c r="A29" t="s">
        <v>19</v>
      </c>
      <c r="B29" t="s">
        <v>53</v>
      </c>
      <c r="C29" t="s">
        <v>34</v>
      </c>
      <c r="D29" t="s">
        <v>27</v>
      </c>
      <c r="E29">
        <v>1261.3399999999999</v>
      </c>
      <c r="F29">
        <v>3</v>
      </c>
      <c r="G29">
        <v>0</v>
      </c>
      <c r="H29" s="51">
        <v>45519</v>
      </c>
      <c r="I29">
        <v>441.47</v>
      </c>
      <c r="J29" t="s">
        <v>121</v>
      </c>
    </row>
    <row r="30" spans="1:10" x14ac:dyDescent="0.35">
      <c r="A30" t="s">
        <v>72</v>
      </c>
      <c r="B30" t="s">
        <v>45</v>
      </c>
      <c r="C30" t="s">
        <v>24</v>
      </c>
      <c r="D30" t="s">
        <v>27</v>
      </c>
      <c r="E30">
        <v>518.07000000000005</v>
      </c>
      <c r="F30">
        <v>7</v>
      </c>
      <c r="G30">
        <v>0.05</v>
      </c>
      <c r="H30" s="51">
        <v>45522</v>
      </c>
      <c r="I30">
        <v>172.26</v>
      </c>
      <c r="J30" t="s">
        <v>121</v>
      </c>
    </row>
    <row r="31" spans="1:10" x14ac:dyDescent="0.35">
      <c r="A31" t="s">
        <v>30</v>
      </c>
      <c r="B31" t="s">
        <v>29</v>
      </c>
      <c r="C31" t="s">
        <v>11</v>
      </c>
      <c r="D31" t="s">
        <v>39</v>
      </c>
      <c r="E31">
        <v>1111.3399999999999</v>
      </c>
      <c r="F31">
        <v>1</v>
      </c>
      <c r="G31">
        <v>0</v>
      </c>
      <c r="H31" s="51">
        <v>45523</v>
      </c>
      <c r="I31">
        <v>500.1</v>
      </c>
      <c r="J31" t="s">
        <v>121</v>
      </c>
    </row>
    <row r="32" spans="1:10" x14ac:dyDescent="0.35">
      <c r="A32" t="s">
        <v>22</v>
      </c>
      <c r="B32" t="s">
        <v>31</v>
      </c>
      <c r="C32" t="s">
        <v>18</v>
      </c>
      <c r="D32" t="s">
        <v>15</v>
      </c>
      <c r="E32">
        <v>1291.47</v>
      </c>
      <c r="F32">
        <v>18</v>
      </c>
      <c r="G32">
        <v>0.1</v>
      </c>
      <c r="H32" s="51">
        <v>45526</v>
      </c>
      <c r="I32">
        <v>581.16</v>
      </c>
      <c r="J32" t="s">
        <v>121</v>
      </c>
    </row>
    <row r="33" spans="1:10" x14ac:dyDescent="0.35">
      <c r="A33" t="s">
        <v>25</v>
      </c>
      <c r="B33" t="s">
        <v>55</v>
      </c>
      <c r="C33" t="s">
        <v>24</v>
      </c>
      <c r="D33" t="s">
        <v>12</v>
      </c>
      <c r="E33">
        <v>679.71</v>
      </c>
      <c r="F33">
        <v>19</v>
      </c>
      <c r="G33">
        <v>0</v>
      </c>
      <c r="H33" s="51">
        <v>45534</v>
      </c>
      <c r="I33">
        <v>271.88</v>
      </c>
      <c r="J33" t="s">
        <v>121</v>
      </c>
    </row>
    <row r="34" spans="1:10" x14ac:dyDescent="0.35">
      <c r="A34" t="s">
        <v>68</v>
      </c>
      <c r="B34" t="s">
        <v>33</v>
      </c>
      <c r="C34" t="s">
        <v>18</v>
      </c>
      <c r="D34" t="s">
        <v>27</v>
      </c>
      <c r="E34">
        <v>1143.69</v>
      </c>
      <c r="F34">
        <v>17</v>
      </c>
      <c r="G34">
        <v>0</v>
      </c>
      <c r="H34" s="51">
        <v>45534</v>
      </c>
      <c r="I34">
        <v>400.29</v>
      </c>
      <c r="J34" t="s">
        <v>121</v>
      </c>
    </row>
    <row r="35" spans="1:10" x14ac:dyDescent="0.35">
      <c r="A35" t="s">
        <v>58</v>
      </c>
      <c r="B35" t="s">
        <v>71</v>
      </c>
      <c r="C35" t="s">
        <v>11</v>
      </c>
      <c r="D35" t="s">
        <v>27</v>
      </c>
      <c r="E35">
        <v>820.19</v>
      </c>
      <c r="F35">
        <v>4</v>
      </c>
      <c r="G35">
        <v>0.2</v>
      </c>
      <c r="H35" s="51">
        <v>45630</v>
      </c>
      <c r="I35">
        <v>229.65</v>
      </c>
      <c r="J35" t="s">
        <v>122</v>
      </c>
    </row>
    <row r="36" spans="1:10" x14ac:dyDescent="0.35">
      <c r="A36" t="s">
        <v>58</v>
      </c>
      <c r="B36" t="s">
        <v>38</v>
      </c>
      <c r="C36" t="s">
        <v>34</v>
      </c>
      <c r="D36" t="s">
        <v>21</v>
      </c>
      <c r="E36">
        <v>511.74</v>
      </c>
      <c r="F36">
        <v>8</v>
      </c>
      <c r="G36">
        <v>0.05</v>
      </c>
      <c r="H36" s="51">
        <v>45631</v>
      </c>
      <c r="I36">
        <v>121.54</v>
      </c>
      <c r="J36" t="s">
        <v>122</v>
      </c>
    </row>
    <row r="37" spans="1:10" x14ac:dyDescent="0.35">
      <c r="A37" t="s">
        <v>65</v>
      </c>
      <c r="B37" t="s">
        <v>61</v>
      </c>
      <c r="C37" t="s">
        <v>20</v>
      </c>
      <c r="D37" t="s">
        <v>27</v>
      </c>
      <c r="E37">
        <v>806.03</v>
      </c>
      <c r="F37">
        <v>19</v>
      </c>
      <c r="G37">
        <v>0.05</v>
      </c>
      <c r="H37" s="51">
        <v>45638</v>
      </c>
      <c r="I37">
        <v>268</v>
      </c>
      <c r="J37" t="s">
        <v>122</v>
      </c>
    </row>
    <row r="38" spans="1:10" x14ac:dyDescent="0.35">
      <c r="A38" t="s">
        <v>28</v>
      </c>
      <c r="B38" t="s">
        <v>26</v>
      </c>
      <c r="C38" t="s">
        <v>34</v>
      </c>
      <c r="D38" t="s">
        <v>27</v>
      </c>
      <c r="E38">
        <v>1432.47</v>
      </c>
      <c r="F38">
        <v>16</v>
      </c>
      <c r="G38">
        <v>0.15</v>
      </c>
      <c r="H38" s="51">
        <v>45640</v>
      </c>
      <c r="I38">
        <v>426.16</v>
      </c>
      <c r="J38" t="s">
        <v>122</v>
      </c>
    </row>
    <row r="39" spans="1:10" x14ac:dyDescent="0.35">
      <c r="A39" t="s">
        <v>74</v>
      </c>
      <c r="B39" t="s">
        <v>29</v>
      </c>
      <c r="C39" t="s">
        <v>34</v>
      </c>
      <c r="D39" t="s">
        <v>21</v>
      </c>
      <c r="E39">
        <v>1488.58</v>
      </c>
      <c r="F39">
        <v>10</v>
      </c>
      <c r="G39">
        <v>0.15</v>
      </c>
      <c r="H39" s="51">
        <v>45640</v>
      </c>
      <c r="I39">
        <v>316.32</v>
      </c>
      <c r="J39" t="s">
        <v>122</v>
      </c>
    </row>
    <row r="40" spans="1:10" x14ac:dyDescent="0.35">
      <c r="A40" t="s">
        <v>30</v>
      </c>
      <c r="B40" t="s">
        <v>66</v>
      </c>
      <c r="C40" t="s">
        <v>18</v>
      </c>
      <c r="D40" t="s">
        <v>12</v>
      </c>
      <c r="E40">
        <v>1231.26</v>
      </c>
      <c r="F40">
        <v>9</v>
      </c>
      <c r="G40">
        <v>0</v>
      </c>
      <c r="H40" s="51">
        <v>45646</v>
      </c>
      <c r="I40">
        <v>492.5</v>
      </c>
      <c r="J40" t="s">
        <v>122</v>
      </c>
    </row>
    <row r="41" spans="1:10" x14ac:dyDescent="0.35">
      <c r="A41" t="s">
        <v>30</v>
      </c>
      <c r="B41" t="s">
        <v>43</v>
      </c>
      <c r="C41" t="s">
        <v>11</v>
      </c>
      <c r="D41" t="s">
        <v>21</v>
      </c>
      <c r="E41">
        <v>1161.67</v>
      </c>
      <c r="F41">
        <v>19</v>
      </c>
      <c r="G41">
        <v>0.2</v>
      </c>
      <c r="H41" s="51">
        <v>45647</v>
      </c>
      <c r="I41">
        <v>232.33</v>
      </c>
      <c r="J41" t="s">
        <v>122</v>
      </c>
    </row>
    <row r="42" spans="1:10" x14ac:dyDescent="0.35">
      <c r="A42" t="s">
        <v>49</v>
      </c>
      <c r="B42" t="s">
        <v>45</v>
      </c>
      <c r="C42" t="s">
        <v>34</v>
      </c>
      <c r="D42" t="s">
        <v>39</v>
      </c>
      <c r="E42">
        <v>388.23</v>
      </c>
      <c r="F42">
        <v>16</v>
      </c>
      <c r="G42">
        <v>0.05</v>
      </c>
      <c r="H42" s="51">
        <v>45650</v>
      </c>
      <c r="I42">
        <v>165.97</v>
      </c>
      <c r="J42" t="s">
        <v>122</v>
      </c>
    </row>
    <row r="43" spans="1:10" x14ac:dyDescent="0.35">
      <c r="A43" t="s">
        <v>72</v>
      </c>
      <c r="B43" t="s">
        <v>31</v>
      </c>
      <c r="C43" t="s">
        <v>24</v>
      </c>
      <c r="D43" t="s">
        <v>15</v>
      </c>
      <c r="E43">
        <v>1589.42</v>
      </c>
      <c r="F43">
        <v>6</v>
      </c>
      <c r="G43">
        <v>0.15</v>
      </c>
      <c r="H43" s="51">
        <v>45651</v>
      </c>
      <c r="I43">
        <v>675.5</v>
      </c>
      <c r="J43" t="s">
        <v>122</v>
      </c>
    </row>
    <row r="44" spans="1:10" x14ac:dyDescent="0.35">
      <c r="A44" t="s">
        <v>28</v>
      </c>
      <c r="B44" t="s">
        <v>71</v>
      </c>
      <c r="C44" t="s">
        <v>24</v>
      </c>
      <c r="D44" t="s">
        <v>15</v>
      </c>
      <c r="E44">
        <v>336.66</v>
      </c>
      <c r="F44">
        <v>13</v>
      </c>
      <c r="G44">
        <v>0.2</v>
      </c>
      <c r="H44" s="51">
        <v>45651</v>
      </c>
      <c r="I44">
        <v>134.66</v>
      </c>
      <c r="J44" t="s">
        <v>122</v>
      </c>
    </row>
    <row r="45" spans="1:10" x14ac:dyDescent="0.35">
      <c r="A45" t="s">
        <v>49</v>
      </c>
      <c r="B45" t="s">
        <v>23</v>
      </c>
      <c r="C45" t="s">
        <v>11</v>
      </c>
      <c r="D45" t="s">
        <v>12</v>
      </c>
      <c r="E45">
        <v>1353.79</v>
      </c>
      <c r="F45">
        <v>14</v>
      </c>
      <c r="G45">
        <v>0.1</v>
      </c>
      <c r="H45" s="51">
        <v>45656</v>
      </c>
      <c r="I45">
        <v>487.36</v>
      </c>
      <c r="J45" t="s">
        <v>122</v>
      </c>
    </row>
    <row r="46" spans="1:10" x14ac:dyDescent="0.35">
      <c r="A46" t="s">
        <v>22</v>
      </c>
      <c r="B46" t="s">
        <v>31</v>
      </c>
      <c r="C46" t="s">
        <v>18</v>
      </c>
      <c r="D46" t="s">
        <v>15</v>
      </c>
      <c r="E46">
        <v>1109.98</v>
      </c>
      <c r="F46">
        <v>5</v>
      </c>
      <c r="G46">
        <v>0.2</v>
      </c>
      <c r="H46" s="51">
        <v>45690</v>
      </c>
      <c r="I46">
        <v>443.99</v>
      </c>
      <c r="J46" t="s">
        <v>123</v>
      </c>
    </row>
    <row r="47" spans="1:10" x14ac:dyDescent="0.35">
      <c r="A47" t="s">
        <v>58</v>
      </c>
      <c r="B47" t="s">
        <v>45</v>
      </c>
      <c r="C47" t="s">
        <v>18</v>
      </c>
      <c r="D47" t="s">
        <v>12</v>
      </c>
      <c r="E47">
        <v>1098.08</v>
      </c>
      <c r="F47">
        <v>9</v>
      </c>
      <c r="G47">
        <v>0.1</v>
      </c>
      <c r="H47" s="51">
        <v>45692</v>
      </c>
      <c r="I47">
        <v>395.31</v>
      </c>
      <c r="J47" t="s">
        <v>123</v>
      </c>
    </row>
    <row r="48" spans="1:10" x14ac:dyDescent="0.35">
      <c r="A48" t="s">
        <v>65</v>
      </c>
      <c r="B48" t="s">
        <v>48</v>
      </c>
      <c r="C48" t="s">
        <v>11</v>
      </c>
      <c r="D48" t="s">
        <v>39</v>
      </c>
      <c r="E48">
        <v>827.25</v>
      </c>
      <c r="F48">
        <v>7</v>
      </c>
      <c r="G48">
        <v>0.1</v>
      </c>
      <c r="H48" s="51">
        <v>45693</v>
      </c>
      <c r="I48">
        <v>335.04</v>
      </c>
      <c r="J48" t="s">
        <v>123</v>
      </c>
    </row>
    <row r="49" spans="1:10" x14ac:dyDescent="0.35">
      <c r="A49" t="s">
        <v>70</v>
      </c>
      <c r="B49" t="s">
        <v>29</v>
      </c>
      <c r="C49" t="s">
        <v>34</v>
      </c>
      <c r="D49" t="s">
        <v>15</v>
      </c>
      <c r="E49">
        <v>741.88</v>
      </c>
      <c r="F49">
        <v>16</v>
      </c>
      <c r="G49">
        <v>0.1</v>
      </c>
      <c r="H49" s="51">
        <v>45695</v>
      </c>
      <c r="I49">
        <v>333.85</v>
      </c>
      <c r="J49" t="s">
        <v>123</v>
      </c>
    </row>
    <row r="50" spans="1:10" x14ac:dyDescent="0.35">
      <c r="A50" t="s">
        <v>72</v>
      </c>
      <c r="B50" t="s">
        <v>10</v>
      </c>
      <c r="C50" t="s">
        <v>18</v>
      </c>
      <c r="D50" t="s">
        <v>39</v>
      </c>
      <c r="E50">
        <v>1311.26</v>
      </c>
      <c r="F50">
        <v>6</v>
      </c>
      <c r="G50">
        <v>0.1</v>
      </c>
      <c r="H50" s="51">
        <v>45698</v>
      </c>
      <c r="I50">
        <v>531.05999999999995</v>
      </c>
      <c r="J50" t="s">
        <v>123</v>
      </c>
    </row>
    <row r="51" spans="1:10" x14ac:dyDescent="0.35">
      <c r="A51" t="s">
        <v>72</v>
      </c>
      <c r="B51" t="s">
        <v>31</v>
      </c>
      <c r="C51" t="s">
        <v>20</v>
      </c>
      <c r="D51" t="s">
        <v>39</v>
      </c>
      <c r="E51">
        <v>573.32000000000005</v>
      </c>
      <c r="F51">
        <v>19</v>
      </c>
      <c r="G51">
        <v>0.1</v>
      </c>
      <c r="H51" s="51">
        <v>45703</v>
      </c>
      <c r="I51">
        <v>232.19</v>
      </c>
      <c r="J51" t="s">
        <v>123</v>
      </c>
    </row>
    <row r="52" spans="1:10" x14ac:dyDescent="0.35">
      <c r="A52" t="s">
        <v>52</v>
      </c>
      <c r="B52" t="s">
        <v>23</v>
      </c>
      <c r="C52" t="s">
        <v>11</v>
      </c>
      <c r="D52" t="s">
        <v>21</v>
      </c>
      <c r="E52">
        <v>1115.22</v>
      </c>
      <c r="F52">
        <v>14</v>
      </c>
      <c r="G52">
        <v>0.2</v>
      </c>
      <c r="H52" s="51">
        <v>45705</v>
      </c>
      <c r="I52">
        <v>223.04</v>
      </c>
      <c r="J52" t="s">
        <v>123</v>
      </c>
    </row>
    <row r="53" spans="1:10" x14ac:dyDescent="0.35">
      <c r="A53" t="s">
        <v>13</v>
      </c>
      <c r="B53" t="s">
        <v>45</v>
      </c>
      <c r="C53" t="s">
        <v>24</v>
      </c>
      <c r="D53" t="s">
        <v>15</v>
      </c>
      <c r="E53">
        <v>845.84</v>
      </c>
      <c r="F53">
        <v>4</v>
      </c>
      <c r="G53">
        <v>0</v>
      </c>
      <c r="H53" s="51">
        <v>45707</v>
      </c>
      <c r="I53">
        <v>422.92</v>
      </c>
      <c r="J53" t="s">
        <v>123</v>
      </c>
    </row>
    <row r="54" spans="1:10" x14ac:dyDescent="0.35">
      <c r="A54" t="s">
        <v>30</v>
      </c>
      <c r="B54" t="s">
        <v>55</v>
      </c>
      <c r="C54" t="s">
        <v>11</v>
      </c>
      <c r="D54" t="s">
        <v>21</v>
      </c>
      <c r="E54">
        <v>1029.8</v>
      </c>
      <c r="F54">
        <v>3</v>
      </c>
      <c r="G54">
        <v>0</v>
      </c>
      <c r="H54" s="51">
        <v>45708</v>
      </c>
      <c r="I54">
        <v>257.45</v>
      </c>
      <c r="J54" t="s">
        <v>123</v>
      </c>
    </row>
    <row r="55" spans="1:10" x14ac:dyDescent="0.35">
      <c r="A55" t="s">
        <v>32</v>
      </c>
      <c r="B55" t="s">
        <v>31</v>
      </c>
      <c r="C55" t="s">
        <v>24</v>
      </c>
      <c r="D55" t="s">
        <v>12</v>
      </c>
      <c r="E55">
        <v>1189.83</v>
      </c>
      <c r="F55">
        <v>2</v>
      </c>
      <c r="G55">
        <v>0.2</v>
      </c>
      <c r="H55" s="51">
        <v>45709</v>
      </c>
      <c r="I55">
        <v>380.75</v>
      </c>
      <c r="J55" t="s">
        <v>123</v>
      </c>
    </row>
    <row r="56" spans="1:10" x14ac:dyDescent="0.35">
      <c r="A56" t="s">
        <v>67</v>
      </c>
      <c r="B56" t="s">
        <v>43</v>
      </c>
      <c r="C56" t="s">
        <v>20</v>
      </c>
      <c r="D56" t="s">
        <v>12</v>
      </c>
      <c r="E56">
        <v>704.28</v>
      </c>
      <c r="F56">
        <v>15</v>
      </c>
      <c r="G56">
        <v>0.2</v>
      </c>
      <c r="H56" s="51">
        <v>45712</v>
      </c>
      <c r="I56">
        <v>225.37</v>
      </c>
      <c r="J56" t="s">
        <v>123</v>
      </c>
    </row>
    <row r="57" spans="1:10" x14ac:dyDescent="0.35">
      <c r="A57" t="s">
        <v>65</v>
      </c>
      <c r="B57" t="s">
        <v>47</v>
      </c>
      <c r="C57" t="s">
        <v>34</v>
      </c>
      <c r="D57" t="s">
        <v>39</v>
      </c>
      <c r="E57">
        <v>1618.22</v>
      </c>
      <c r="F57">
        <v>12</v>
      </c>
      <c r="G57">
        <v>0.2</v>
      </c>
      <c r="H57" s="51">
        <v>45712</v>
      </c>
      <c r="I57">
        <v>582.55999999999995</v>
      </c>
      <c r="J57" t="s">
        <v>123</v>
      </c>
    </row>
    <row r="58" spans="1:10" x14ac:dyDescent="0.35">
      <c r="A58" t="s">
        <v>73</v>
      </c>
      <c r="B58" t="s">
        <v>53</v>
      </c>
      <c r="C58" t="s">
        <v>34</v>
      </c>
      <c r="D58" t="s">
        <v>12</v>
      </c>
      <c r="E58">
        <v>1014.43</v>
      </c>
      <c r="F58">
        <v>2</v>
      </c>
      <c r="G58">
        <v>0.15</v>
      </c>
      <c r="H58" s="51">
        <v>45713</v>
      </c>
      <c r="I58">
        <v>344.91</v>
      </c>
      <c r="J58" t="s">
        <v>123</v>
      </c>
    </row>
    <row r="59" spans="1:10" x14ac:dyDescent="0.35">
      <c r="A59" t="s">
        <v>75</v>
      </c>
      <c r="B59" t="s">
        <v>31</v>
      </c>
      <c r="C59" t="s">
        <v>34</v>
      </c>
      <c r="D59" t="s">
        <v>15</v>
      </c>
      <c r="E59">
        <v>826.97</v>
      </c>
      <c r="F59">
        <v>18</v>
      </c>
      <c r="G59">
        <v>0.2</v>
      </c>
      <c r="H59" s="51">
        <v>45715</v>
      </c>
      <c r="I59">
        <v>330.79</v>
      </c>
      <c r="J59" t="s">
        <v>123</v>
      </c>
    </row>
    <row r="60" spans="1:10" x14ac:dyDescent="0.35">
      <c r="A60" t="s">
        <v>63</v>
      </c>
      <c r="B60" t="s">
        <v>69</v>
      </c>
      <c r="C60" t="s">
        <v>34</v>
      </c>
      <c r="D60" t="s">
        <v>15</v>
      </c>
      <c r="E60">
        <v>662.61</v>
      </c>
      <c r="F60">
        <v>11</v>
      </c>
      <c r="G60">
        <v>0.05</v>
      </c>
      <c r="H60" s="51">
        <v>45658</v>
      </c>
      <c r="I60">
        <v>314.74</v>
      </c>
      <c r="J60" t="s">
        <v>124</v>
      </c>
    </row>
    <row r="61" spans="1:10" x14ac:dyDescent="0.35">
      <c r="A61" t="s">
        <v>52</v>
      </c>
      <c r="B61" t="s">
        <v>48</v>
      </c>
      <c r="C61" t="s">
        <v>24</v>
      </c>
      <c r="D61" t="s">
        <v>39</v>
      </c>
      <c r="E61">
        <v>309.42</v>
      </c>
      <c r="F61">
        <v>1</v>
      </c>
      <c r="G61">
        <v>0.2</v>
      </c>
      <c r="H61" s="51">
        <v>45658</v>
      </c>
      <c r="I61">
        <v>111.39</v>
      </c>
      <c r="J61" t="s">
        <v>124</v>
      </c>
    </row>
    <row r="62" spans="1:10" x14ac:dyDescent="0.35">
      <c r="A62" t="s">
        <v>63</v>
      </c>
      <c r="B62" t="s">
        <v>29</v>
      </c>
      <c r="C62" t="s">
        <v>24</v>
      </c>
      <c r="D62" t="s">
        <v>12</v>
      </c>
      <c r="E62">
        <v>884.63</v>
      </c>
      <c r="F62">
        <v>18</v>
      </c>
      <c r="G62">
        <v>0.1</v>
      </c>
      <c r="H62" s="51">
        <v>45659</v>
      </c>
      <c r="I62">
        <v>318.47000000000003</v>
      </c>
      <c r="J62" t="s">
        <v>124</v>
      </c>
    </row>
    <row r="63" spans="1:10" x14ac:dyDescent="0.35">
      <c r="A63" t="s">
        <v>52</v>
      </c>
      <c r="B63" t="s">
        <v>23</v>
      </c>
      <c r="C63" t="s">
        <v>34</v>
      </c>
      <c r="D63" t="s">
        <v>39</v>
      </c>
      <c r="E63">
        <v>745.05</v>
      </c>
      <c r="F63">
        <v>10</v>
      </c>
      <c r="G63">
        <v>0.1</v>
      </c>
      <c r="H63" s="51">
        <v>45660</v>
      </c>
      <c r="I63">
        <v>301.75</v>
      </c>
      <c r="J63" t="s">
        <v>124</v>
      </c>
    </row>
    <row r="64" spans="1:10" x14ac:dyDescent="0.35">
      <c r="A64" t="s">
        <v>60</v>
      </c>
      <c r="B64" t="s">
        <v>17</v>
      </c>
      <c r="C64" t="s">
        <v>20</v>
      </c>
      <c r="D64" t="s">
        <v>15</v>
      </c>
      <c r="E64">
        <v>870.23</v>
      </c>
      <c r="F64">
        <v>5</v>
      </c>
      <c r="G64">
        <v>0.05</v>
      </c>
      <c r="H64" s="51">
        <v>45660</v>
      </c>
      <c r="I64">
        <v>413.36</v>
      </c>
      <c r="J64" t="s">
        <v>124</v>
      </c>
    </row>
    <row r="65" spans="1:10" x14ac:dyDescent="0.35">
      <c r="A65" t="s">
        <v>35</v>
      </c>
      <c r="B65" t="s">
        <v>29</v>
      </c>
      <c r="C65" t="s">
        <v>11</v>
      </c>
      <c r="D65" t="s">
        <v>27</v>
      </c>
      <c r="E65">
        <v>862.19</v>
      </c>
      <c r="F65">
        <v>18</v>
      </c>
      <c r="G65">
        <v>0.05</v>
      </c>
      <c r="H65" s="51">
        <v>45663</v>
      </c>
      <c r="I65">
        <v>286.68</v>
      </c>
      <c r="J65" t="s">
        <v>124</v>
      </c>
    </row>
    <row r="66" spans="1:10" x14ac:dyDescent="0.35">
      <c r="A66" t="s">
        <v>73</v>
      </c>
      <c r="B66" t="s">
        <v>59</v>
      </c>
      <c r="C66" t="s">
        <v>24</v>
      </c>
      <c r="D66" t="s">
        <v>15</v>
      </c>
      <c r="E66">
        <v>1171.18</v>
      </c>
      <c r="F66">
        <v>19</v>
      </c>
      <c r="G66">
        <v>0.05</v>
      </c>
      <c r="H66" s="51">
        <v>45667</v>
      </c>
      <c r="I66">
        <v>556.30999999999995</v>
      </c>
      <c r="J66" t="s">
        <v>124</v>
      </c>
    </row>
    <row r="67" spans="1:10" x14ac:dyDescent="0.35">
      <c r="A67" t="s">
        <v>58</v>
      </c>
      <c r="B67" t="s">
        <v>14</v>
      </c>
      <c r="C67" t="s">
        <v>20</v>
      </c>
      <c r="D67" t="s">
        <v>27</v>
      </c>
      <c r="E67">
        <v>1054.56</v>
      </c>
      <c r="F67">
        <v>11</v>
      </c>
      <c r="G67">
        <v>0.1</v>
      </c>
      <c r="H67" s="51">
        <v>45669</v>
      </c>
      <c r="I67">
        <v>332.19</v>
      </c>
      <c r="J67" t="s">
        <v>124</v>
      </c>
    </row>
    <row r="68" spans="1:10" x14ac:dyDescent="0.35">
      <c r="A68" t="s">
        <v>58</v>
      </c>
      <c r="B68" t="s">
        <v>23</v>
      </c>
      <c r="C68" t="s">
        <v>24</v>
      </c>
      <c r="D68" t="s">
        <v>21</v>
      </c>
      <c r="E68">
        <v>1681.21</v>
      </c>
      <c r="F68">
        <v>5</v>
      </c>
      <c r="G68">
        <v>0.2</v>
      </c>
      <c r="H68" s="51">
        <v>45670</v>
      </c>
      <c r="I68">
        <v>336.24</v>
      </c>
      <c r="J68" t="s">
        <v>124</v>
      </c>
    </row>
    <row r="69" spans="1:10" x14ac:dyDescent="0.35">
      <c r="A69" t="s">
        <v>58</v>
      </c>
      <c r="B69" t="s">
        <v>36</v>
      </c>
      <c r="C69" t="s">
        <v>11</v>
      </c>
      <c r="D69" t="s">
        <v>15</v>
      </c>
      <c r="E69">
        <v>379.77</v>
      </c>
      <c r="F69">
        <v>9</v>
      </c>
      <c r="G69">
        <v>0.05</v>
      </c>
      <c r="H69" s="51">
        <v>45673</v>
      </c>
      <c r="I69">
        <v>180.39</v>
      </c>
      <c r="J69" t="s">
        <v>124</v>
      </c>
    </row>
    <row r="70" spans="1:10" x14ac:dyDescent="0.35">
      <c r="A70" t="s">
        <v>44</v>
      </c>
      <c r="B70" t="s">
        <v>45</v>
      </c>
      <c r="C70" t="s">
        <v>34</v>
      </c>
      <c r="D70" t="s">
        <v>15</v>
      </c>
      <c r="E70">
        <v>1076.33</v>
      </c>
      <c r="F70">
        <v>2</v>
      </c>
      <c r="G70">
        <v>0.1</v>
      </c>
      <c r="H70" s="51">
        <v>45674</v>
      </c>
      <c r="I70">
        <v>484.35</v>
      </c>
      <c r="J70" t="s">
        <v>124</v>
      </c>
    </row>
    <row r="71" spans="1:10" x14ac:dyDescent="0.35">
      <c r="A71" t="s">
        <v>44</v>
      </c>
      <c r="B71" t="s">
        <v>31</v>
      </c>
      <c r="C71" t="s">
        <v>34</v>
      </c>
      <c r="D71" t="s">
        <v>39</v>
      </c>
      <c r="E71">
        <v>1250.71</v>
      </c>
      <c r="F71">
        <v>7</v>
      </c>
      <c r="G71">
        <v>0</v>
      </c>
      <c r="H71" s="51">
        <v>45674</v>
      </c>
      <c r="I71">
        <v>562.82000000000005</v>
      </c>
      <c r="J71" t="s">
        <v>124</v>
      </c>
    </row>
    <row r="72" spans="1:10" x14ac:dyDescent="0.35">
      <c r="A72" t="s">
        <v>40</v>
      </c>
      <c r="B72" t="s">
        <v>17</v>
      </c>
      <c r="C72" t="s">
        <v>20</v>
      </c>
      <c r="D72" t="s">
        <v>15</v>
      </c>
      <c r="E72">
        <v>1118.3399999999999</v>
      </c>
      <c r="F72">
        <v>6</v>
      </c>
      <c r="G72">
        <v>0.2</v>
      </c>
      <c r="H72" s="51">
        <v>45674</v>
      </c>
      <c r="I72">
        <v>447.34</v>
      </c>
      <c r="J72" t="s">
        <v>124</v>
      </c>
    </row>
    <row r="73" spans="1:10" x14ac:dyDescent="0.35">
      <c r="A73" t="s">
        <v>70</v>
      </c>
      <c r="B73" t="s">
        <v>53</v>
      </c>
      <c r="C73" t="s">
        <v>24</v>
      </c>
      <c r="D73" t="s">
        <v>15</v>
      </c>
      <c r="E73">
        <v>1622.62</v>
      </c>
      <c r="F73">
        <v>12</v>
      </c>
      <c r="G73">
        <v>0.2</v>
      </c>
      <c r="H73" s="51">
        <v>45677</v>
      </c>
      <c r="I73">
        <v>649.04999999999995</v>
      </c>
      <c r="J73" t="s">
        <v>124</v>
      </c>
    </row>
    <row r="74" spans="1:10" x14ac:dyDescent="0.35">
      <c r="A74" t="s">
        <v>75</v>
      </c>
      <c r="B74" t="s">
        <v>48</v>
      </c>
      <c r="C74" t="s">
        <v>24</v>
      </c>
      <c r="D74" t="s">
        <v>12</v>
      </c>
      <c r="E74">
        <v>640.64</v>
      </c>
      <c r="F74">
        <v>11</v>
      </c>
      <c r="G74">
        <v>0.2</v>
      </c>
      <c r="H74" s="51">
        <v>45678</v>
      </c>
      <c r="I74">
        <v>205</v>
      </c>
      <c r="J74" t="s">
        <v>124</v>
      </c>
    </row>
    <row r="75" spans="1:10" x14ac:dyDescent="0.35">
      <c r="A75" t="s">
        <v>22</v>
      </c>
      <c r="B75" t="s">
        <v>43</v>
      </c>
      <c r="C75" t="s">
        <v>11</v>
      </c>
      <c r="D75" t="s">
        <v>15</v>
      </c>
      <c r="E75">
        <v>585.16</v>
      </c>
      <c r="F75">
        <v>17</v>
      </c>
      <c r="G75">
        <v>0.1</v>
      </c>
      <c r="H75" s="51">
        <v>45684</v>
      </c>
      <c r="I75">
        <v>263.32</v>
      </c>
      <c r="J75" t="s">
        <v>124</v>
      </c>
    </row>
    <row r="76" spans="1:10" x14ac:dyDescent="0.35">
      <c r="A76" t="s">
        <v>57</v>
      </c>
      <c r="B76" t="s">
        <v>31</v>
      </c>
      <c r="C76" t="s">
        <v>18</v>
      </c>
      <c r="D76" t="s">
        <v>12</v>
      </c>
      <c r="E76">
        <v>1383.3</v>
      </c>
      <c r="F76">
        <v>8</v>
      </c>
      <c r="G76">
        <v>0.1</v>
      </c>
      <c r="H76" s="51">
        <v>45478</v>
      </c>
      <c r="I76">
        <v>497.99</v>
      </c>
      <c r="J76" t="s">
        <v>125</v>
      </c>
    </row>
    <row r="77" spans="1:10" x14ac:dyDescent="0.35">
      <c r="A77" t="s">
        <v>35</v>
      </c>
      <c r="B77" t="s">
        <v>55</v>
      </c>
      <c r="C77" t="s">
        <v>34</v>
      </c>
      <c r="D77" t="s">
        <v>39</v>
      </c>
      <c r="E77">
        <v>488.99</v>
      </c>
      <c r="F77">
        <v>9</v>
      </c>
      <c r="G77">
        <v>0</v>
      </c>
      <c r="H77" s="51">
        <v>45479</v>
      </c>
      <c r="I77">
        <v>220.05</v>
      </c>
      <c r="J77" t="s">
        <v>125</v>
      </c>
    </row>
    <row r="78" spans="1:10" x14ac:dyDescent="0.35">
      <c r="A78" t="s">
        <v>30</v>
      </c>
      <c r="B78" t="s">
        <v>31</v>
      </c>
      <c r="C78" t="s">
        <v>18</v>
      </c>
      <c r="D78" t="s">
        <v>27</v>
      </c>
      <c r="E78">
        <v>933.71</v>
      </c>
      <c r="F78">
        <v>17</v>
      </c>
      <c r="G78">
        <v>0.1</v>
      </c>
      <c r="H78" s="51">
        <v>45481</v>
      </c>
      <c r="I78">
        <v>294.12</v>
      </c>
      <c r="J78" t="s">
        <v>125</v>
      </c>
    </row>
    <row r="79" spans="1:10" x14ac:dyDescent="0.35">
      <c r="A79" t="s">
        <v>67</v>
      </c>
      <c r="B79" t="s">
        <v>10</v>
      </c>
      <c r="C79" t="s">
        <v>11</v>
      </c>
      <c r="D79" t="s">
        <v>21</v>
      </c>
      <c r="E79">
        <v>1005.53</v>
      </c>
      <c r="F79">
        <v>17</v>
      </c>
      <c r="G79">
        <v>0.2</v>
      </c>
      <c r="H79" s="51">
        <v>45481</v>
      </c>
      <c r="I79">
        <v>201.11</v>
      </c>
      <c r="J79" t="s">
        <v>125</v>
      </c>
    </row>
    <row r="80" spans="1:10" x14ac:dyDescent="0.35">
      <c r="A80" t="s">
        <v>41</v>
      </c>
      <c r="B80" t="s">
        <v>61</v>
      </c>
      <c r="C80" t="s">
        <v>20</v>
      </c>
      <c r="D80" t="s">
        <v>21</v>
      </c>
      <c r="E80">
        <v>1100.0999999999999</v>
      </c>
      <c r="F80">
        <v>5</v>
      </c>
      <c r="G80">
        <v>0.05</v>
      </c>
      <c r="H80" s="51">
        <v>45482</v>
      </c>
      <c r="I80">
        <v>261.27</v>
      </c>
      <c r="J80" t="s">
        <v>125</v>
      </c>
    </row>
    <row r="81" spans="1:10" x14ac:dyDescent="0.35">
      <c r="A81" t="s">
        <v>67</v>
      </c>
      <c r="B81" t="s">
        <v>23</v>
      </c>
      <c r="C81" t="s">
        <v>24</v>
      </c>
      <c r="D81" t="s">
        <v>27</v>
      </c>
      <c r="E81">
        <v>1034.7</v>
      </c>
      <c r="F81">
        <v>15</v>
      </c>
      <c r="G81">
        <v>0.15</v>
      </c>
      <c r="H81" s="51">
        <v>45487</v>
      </c>
      <c r="I81">
        <v>307.82</v>
      </c>
      <c r="J81" t="s">
        <v>125</v>
      </c>
    </row>
    <row r="82" spans="1:10" x14ac:dyDescent="0.35">
      <c r="A82" t="s">
        <v>65</v>
      </c>
      <c r="B82" t="s">
        <v>31</v>
      </c>
      <c r="C82" t="s">
        <v>20</v>
      </c>
      <c r="D82" t="s">
        <v>12</v>
      </c>
      <c r="E82">
        <v>876.44</v>
      </c>
      <c r="F82">
        <v>12</v>
      </c>
      <c r="G82">
        <v>0.05</v>
      </c>
      <c r="H82" s="51">
        <v>45488</v>
      </c>
      <c r="I82">
        <v>333.05</v>
      </c>
      <c r="J82" t="s">
        <v>125</v>
      </c>
    </row>
    <row r="83" spans="1:10" x14ac:dyDescent="0.35">
      <c r="A83" t="s">
        <v>68</v>
      </c>
      <c r="B83" t="s">
        <v>55</v>
      </c>
      <c r="C83" t="s">
        <v>11</v>
      </c>
      <c r="D83" t="s">
        <v>27</v>
      </c>
      <c r="E83">
        <v>1371.34</v>
      </c>
      <c r="F83">
        <v>5</v>
      </c>
      <c r="G83">
        <v>0.05</v>
      </c>
      <c r="H83" s="51">
        <v>45488</v>
      </c>
      <c r="I83">
        <v>455.97</v>
      </c>
      <c r="J83" t="s">
        <v>125</v>
      </c>
    </row>
    <row r="84" spans="1:10" x14ac:dyDescent="0.35">
      <c r="A84" t="s">
        <v>57</v>
      </c>
      <c r="B84" t="s">
        <v>47</v>
      </c>
      <c r="C84" t="s">
        <v>24</v>
      </c>
      <c r="D84" t="s">
        <v>21</v>
      </c>
      <c r="E84">
        <v>1020.26</v>
      </c>
      <c r="F84">
        <v>11</v>
      </c>
      <c r="G84">
        <v>0.05</v>
      </c>
      <c r="H84" s="51">
        <v>45494</v>
      </c>
      <c r="I84">
        <v>242.31</v>
      </c>
      <c r="J84" t="s">
        <v>125</v>
      </c>
    </row>
    <row r="85" spans="1:10" x14ac:dyDescent="0.35">
      <c r="A85" t="s">
        <v>44</v>
      </c>
      <c r="B85" t="s">
        <v>10</v>
      </c>
      <c r="C85" t="s">
        <v>34</v>
      </c>
      <c r="D85" t="s">
        <v>39</v>
      </c>
      <c r="E85">
        <v>804.81</v>
      </c>
      <c r="F85">
        <v>1</v>
      </c>
      <c r="G85">
        <v>0.05</v>
      </c>
      <c r="H85" s="51">
        <v>45502</v>
      </c>
      <c r="I85">
        <v>344.06</v>
      </c>
      <c r="J85" t="s">
        <v>125</v>
      </c>
    </row>
    <row r="86" spans="1:10" x14ac:dyDescent="0.35">
      <c r="A86" t="s">
        <v>22</v>
      </c>
      <c r="B86" t="s">
        <v>55</v>
      </c>
      <c r="C86" t="s">
        <v>34</v>
      </c>
      <c r="D86" t="s">
        <v>21</v>
      </c>
      <c r="E86">
        <v>608.66</v>
      </c>
      <c r="F86">
        <v>1</v>
      </c>
      <c r="G86">
        <v>0.05</v>
      </c>
      <c r="H86" s="51">
        <v>45503</v>
      </c>
      <c r="I86">
        <v>144.56</v>
      </c>
      <c r="J86" t="s">
        <v>125</v>
      </c>
    </row>
    <row r="87" spans="1:10" x14ac:dyDescent="0.35">
      <c r="A87" t="s">
        <v>68</v>
      </c>
      <c r="B87" t="s">
        <v>69</v>
      </c>
      <c r="C87" t="s">
        <v>20</v>
      </c>
      <c r="D87" t="s">
        <v>39</v>
      </c>
      <c r="E87">
        <v>981.2</v>
      </c>
      <c r="F87">
        <v>19</v>
      </c>
      <c r="G87">
        <v>0</v>
      </c>
      <c r="H87" s="51">
        <v>45504</v>
      </c>
      <c r="I87">
        <v>441.54</v>
      </c>
      <c r="J87" t="s">
        <v>125</v>
      </c>
    </row>
    <row r="88" spans="1:10" x14ac:dyDescent="0.35">
      <c r="A88" t="s">
        <v>19</v>
      </c>
      <c r="B88" t="s">
        <v>42</v>
      </c>
      <c r="C88" t="s">
        <v>20</v>
      </c>
      <c r="D88" t="s">
        <v>12</v>
      </c>
      <c r="E88">
        <v>1151.21</v>
      </c>
      <c r="F88">
        <v>15</v>
      </c>
      <c r="G88">
        <v>0.1</v>
      </c>
      <c r="H88" s="51">
        <v>45445</v>
      </c>
      <c r="I88">
        <v>414.44</v>
      </c>
      <c r="J88" t="s">
        <v>126</v>
      </c>
    </row>
    <row r="89" spans="1:10" x14ac:dyDescent="0.35">
      <c r="A89" t="s">
        <v>52</v>
      </c>
      <c r="B89" t="s">
        <v>23</v>
      </c>
      <c r="C89" t="s">
        <v>34</v>
      </c>
      <c r="D89" t="s">
        <v>39</v>
      </c>
      <c r="E89">
        <v>1025.98</v>
      </c>
      <c r="F89">
        <v>5</v>
      </c>
      <c r="G89">
        <v>0.2</v>
      </c>
      <c r="H89" s="51">
        <v>45447</v>
      </c>
      <c r="I89">
        <v>369.35</v>
      </c>
      <c r="J89" t="s">
        <v>126</v>
      </c>
    </row>
    <row r="90" spans="1:10" x14ac:dyDescent="0.35">
      <c r="A90" t="s">
        <v>40</v>
      </c>
      <c r="B90" t="s">
        <v>56</v>
      </c>
      <c r="C90" t="s">
        <v>18</v>
      </c>
      <c r="D90" t="s">
        <v>39</v>
      </c>
      <c r="E90">
        <v>556.41999999999996</v>
      </c>
      <c r="F90">
        <v>11</v>
      </c>
      <c r="G90">
        <v>0.15</v>
      </c>
      <c r="H90" s="51">
        <v>45447</v>
      </c>
      <c r="I90">
        <v>212.83</v>
      </c>
      <c r="J90" t="s">
        <v>126</v>
      </c>
    </row>
    <row r="91" spans="1:10" x14ac:dyDescent="0.35">
      <c r="A91" t="s">
        <v>57</v>
      </c>
      <c r="B91" t="s">
        <v>23</v>
      </c>
      <c r="C91" t="s">
        <v>34</v>
      </c>
      <c r="D91" t="s">
        <v>12</v>
      </c>
      <c r="E91">
        <v>840.85</v>
      </c>
      <c r="F91">
        <v>19</v>
      </c>
      <c r="G91">
        <v>0.1</v>
      </c>
      <c r="H91" s="51">
        <v>45448</v>
      </c>
      <c r="I91">
        <v>302.70999999999998</v>
      </c>
      <c r="J91" t="s">
        <v>126</v>
      </c>
    </row>
    <row r="92" spans="1:10" x14ac:dyDescent="0.35">
      <c r="A92" t="s">
        <v>30</v>
      </c>
      <c r="B92" t="s">
        <v>61</v>
      </c>
      <c r="C92" t="s">
        <v>24</v>
      </c>
      <c r="D92" t="s">
        <v>27</v>
      </c>
      <c r="E92">
        <v>1227.25</v>
      </c>
      <c r="F92">
        <v>12</v>
      </c>
      <c r="G92">
        <v>0.15</v>
      </c>
      <c r="H92" s="51">
        <v>45448</v>
      </c>
      <c r="I92">
        <v>365.11</v>
      </c>
      <c r="J92" t="s">
        <v>126</v>
      </c>
    </row>
    <row r="93" spans="1:10" x14ac:dyDescent="0.35">
      <c r="A93" t="s">
        <v>16</v>
      </c>
      <c r="B93" t="s">
        <v>62</v>
      </c>
      <c r="C93" t="s">
        <v>34</v>
      </c>
      <c r="D93" t="s">
        <v>21</v>
      </c>
      <c r="E93">
        <v>856.7</v>
      </c>
      <c r="F93">
        <v>2</v>
      </c>
      <c r="G93">
        <v>0</v>
      </c>
      <c r="H93" s="51">
        <v>45449</v>
      </c>
      <c r="I93">
        <v>214.18</v>
      </c>
      <c r="J93" t="s">
        <v>126</v>
      </c>
    </row>
    <row r="94" spans="1:10" x14ac:dyDescent="0.35">
      <c r="A94" t="s">
        <v>54</v>
      </c>
      <c r="B94" t="s">
        <v>56</v>
      </c>
      <c r="C94" t="s">
        <v>34</v>
      </c>
      <c r="D94" t="s">
        <v>39</v>
      </c>
      <c r="E94">
        <v>1225.42</v>
      </c>
      <c r="F94">
        <v>8</v>
      </c>
      <c r="G94">
        <v>0.15</v>
      </c>
      <c r="H94" s="51">
        <v>45449</v>
      </c>
      <c r="I94">
        <v>468.72</v>
      </c>
      <c r="J94" t="s">
        <v>126</v>
      </c>
    </row>
    <row r="95" spans="1:10" x14ac:dyDescent="0.35">
      <c r="A95" t="s">
        <v>63</v>
      </c>
      <c r="B95" t="s">
        <v>31</v>
      </c>
      <c r="C95" t="s">
        <v>24</v>
      </c>
      <c r="D95" t="s">
        <v>39</v>
      </c>
      <c r="E95">
        <v>1001.57</v>
      </c>
      <c r="F95">
        <v>12</v>
      </c>
      <c r="G95">
        <v>0</v>
      </c>
      <c r="H95" s="51">
        <v>45450</v>
      </c>
      <c r="I95">
        <v>450.71</v>
      </c>
      <c r="J95" t="s">
        <v>126</v>
      </c>
    </row>
    <row r="96" spans="1:10" x14ac:dyDescent="0.35">
      <c r="A96" t="s">
        <v>57</v>
      </c>
      <c r="B96" t="s">
        <v>26</v>
      </c>
      <c r="C96" t="s">
        <v>18</v>
      </c>
      <c r="D96" t="s">
        <v>27</v>
      </c>
      <c r="E96">
        <v>1186.8499999999999</v>
      </c>
      <c r="F96">
        <v>19</v>
      </c>
      <c r="G96">
        <v>0.2</v>
      </c>
      <c r="H96" s="51">
        <v>45451</v>
      </c>
      <c r="I96">
        <v>332.32</v>
      </c>
      <c r="J96" t="s">
        <v>126</v>
      </c>
    </row>
    <row r="97" spans="1:10" x14ac:dyDescent="0.35">
      <c r="A97" t="s">
        <v>44</v>
      </c>
      <c r="B97" t="s">
        <v>51</v>
      </c>
      <c r="C97" t="s">
        <v>20</v>
      </c>
      <c r="D97" t="s">
        <v>21</v>
      </c>
      <c r="E97">
        <v>775.45</v>
      </c>
      <c r="F97">
        <v>6</v>
      </c>
      <c r="G97">
        <v>0.1</v>
      </c>
      <c r="H97" s="51">
        <v>45457</v>
      </c>
      <c r="I97">
        <v>174.48</v>
      </c>
      <c r="J97" t="s">
        <v>126</v>
      </c>
    </row>
    <row r="98" spans="1:10" x14ac:dyDescent="0.35">
      <c r="A98" t="s">
        <v>25</v>
      </c>
      <c r="B98" t="s">
        <v>33</v>
      </c>
      <c r="C98" t="s">
        <v>20</v>
      </c>
      <c r="D98" t="s">
        <v>21</v>
      </c>
      <c r="E98">
        <v>1021.47</v>
      </c>
      <c r="F98">
        <v>6</v>
      </c>
      <c r="G98">
        <v>0.05</v>
      </c>
      <c r="H98" s="51">
        <v>45461</v>
      </c>
      <c r="I98">
        <v>242.6</v>
      </c>
      <c r="J98" t="s">
        <v>126</v>
      </c>
    </row>
    <row r="99" spans="1:10" x14ac:dyDescent="0.35">
      <c r="A99" t="s">
        <v>58</v>
      </c>
      <c r="B99" t="s">
        <v>23</v>
      </c>
      <c r="C99" t="s">
        <v>20</v>
      </c>
      <c r="D99" t="s">
        <v>15</v>
      </c>
      <c r="E99">
        <v>1226.6199999999999</v>
      </c>
      <c r="F99">
        <v>7</v>
      </c>
      <c r="G99">
        <v>0.1</v>
      </c>
      <c r="H99" s="51">
        <v>45463</v>
      </c>
      <c r="I99">
        <v>551.98</v>
      </c>
      <c r="J99" t="s">
        <v>126</v>
      </c>
    </row>
    <row r="100" spans="1:10" x14ac:dyDescent="0.35">
      <c r="A100" t="s">
        <v>22</v>
      </c>
      <c r="B100" t="s">
        <v>64</v>
      </c>
      <c r="C100" t="s">
        <v>20</v>
      </c>
      <c r="D100" t="s">
        <v>27</v>
      </c>
      <c r="E100">
        <v>1086.93</v>
      </c>
      <c r="F100">
        <v>2</v>
      </c>
      <c r="G100">
        <v>0</v>
      </c>
      <c r="H100" s="51">
        <v>45464</v>
      </c>
      <c r="I100">
        <v>380.43</v>
      </c>
      <c r="J100" t="s">
        <v>126</v>
      </c>
    </row>
    <row r="101" spans="1:10" x14ac:dyDescent="0.35">
      <c r="A101" t="s">
        <v>65</v>
      </c>
      <c r="B101" t="s">
        <v>48</v>
      </c>
      <c r="C101" t="s">
        <v>11</v>
      </c>
      <c r="D101" t="s">
        <v>12</v>
      </c>
      <c r="E101">
        <v>942.9</v>
      </c>
      <c r="F101">
        <v>18</v>
      </c>
      <c r="G101">
        <v>0.1</v>
      </c>
      <c r="H101" s="51">
        <v>45466</v>
      </c>
      <c r="I101">
        <v>339.44</v>
      </c>
      <c r="J101" t="s">
        <v>126</v>
      </c>
    </row>
    <row r="102" spans="1:10" x14ac:dyDescent="0.35">
      <c r="A102" t="s">
        <v>32</v>
      </c>
      <c r="B102" t="s">
        <v>38</v>
      </c>
      <c r="C102" t="s">
        <v>24</v>
      </c>
      <c r="D102" t="s">
        <v>21</v>
      </c>
      <c r="E102">
        <v>818.8</v>
      </c>
      <c r="F102">
        <v>15</v>
      </c>
      <c r="G102">
        <v>0.15</v>
      </c>
      <c r="H102" s="51">
        <v>45468</v>
      </c>
      <c r="I102">
        <v>173.99</v>
      </c>
      <c r="J102" t="s">
        <v>126</v>
      </c>
    </row>
    <row r="103" spans="1:10" x14ac:dyDescent="0.35">
      <c r="A103" t="s">
        <v>19</v>
      </c>
      <c r="B103" t="s">
        <v>14</v>
      </c>
      <c r="C103" t="s">
        <v>20</v>
      </c>
      <c r="D103" t="s">
        <v>27</v>
      </c>
      <c r="E103">
        <v>919.04</v>
      </c>
      <c r="F103">
        <v>10</v>
      </c>
      <c r="G103">
        <v>0.2</v>
      </c>
      <c r="H103" s="51">
        <v>45468</v>
      </c>
      <c r="I103">
        <v>257.33</v>
      </c>
      <c r="J103" t="s">
        <v>126</v>
      </c>
    </row>
    <row r="104" spans="1:10" x14ac:dyDescent="0.35">
      <c r="A104" t="s">
        <v>22</v>
      </c>
      <c r="B104" t="s">
        <v>66</v>
      </c>
      <c r="C104" t="s">
        <v>34</v>
      </c>
      <c r="D104" t="s">
        <v>12</v>
      </c>
      <c r="E104">
        <v>973.26</v>
      </c>
      <c r="F104">
        <v>11</v>
      </c>
      <c r="G104">
        <v>0</v>
      </c>
      <c r="H104" s="51">
        <v>45470</v>
      </c>
      <c r="I104">
        <v>389.3</v>
      </c>
      <c r="J104" t="s">
        <v>126</v>
      </c>
    </row>
    <row r="105" spans="1:10" x14ac:dyDescent="0.35">
      <c r="A105" t="s">
        <v>41</v>
      </c>
      <c r="B105" t="s">
        <v>64</v>
      </c>
      <c r="C105" t="s">
        <v>24</v>
      </c>
      <c r="D105" t="s">
        <v>21</v>
      </c>
      <c r="E105">
        <v>741.61</v>
      </c>
      <c r="F105">
        <v>1</v>
      </c>
      <c r="G105">
        <v>0.2</v>
      </c>
      <c r="H105" s="51">
        <v>45471</v>
      </c>
      <c r="I105">
        <v>148.32</v>
      </c>
      <c r="J105" t="s">
        <v>126</v>
      </c>
    </row>
    <row r="106" spans="1:10" x14ac:dyDescent="0.35">
      <c r="A106" t="s">
        <v>67</v>
      </c>
      <c r="B106" t="s">
        <v>38</v>
      </c>
      <c r="C106" t="s">
        <v>24</v>
      </c>
      <c r="D106" t="s">
        <v>12</v>
      </c>
      <c r="E106">
        <v>1248.82</v>
      </c>
      <c r="F106">
        <v>2</v>
      </c>
      <c r="G106">
        <v>0.1</v>
      </c>
      <c r="H106" s="51">
        <v>45473</v>
      </c>
      <c r="I106">
        <v>449.58</v>
      </c>
      <c r="J106" t="s">
        <v>126</v>
      </c>
    </row>
    <row r="107" spans="1:10" x14ac:dyDescent="0.35">
      <c r="A107" t="s">
        <v>13</v>
      </c>
      <c r="B107" t="s">
        <v>59</v>
      </c>
      <c r="C107" t="s">
        <v>11</v>
      </c>
      <c r="D107" t="s">
        <v>15</v>
      </c>
      <c r="E107">
        <v>1360.36</v>
      </c>
      <c r="F107">
        <v>17</v>
      </c>
      <c r="G107">
        <v>0</v>
      </c>
      <c r="H107" s="51">
        <v>45473</v>
      </c>
      <c r="I107">
        <v>680.18</v>
      </c>
      <c r="J107" t="s">
        <v>126</v>
      </c>
    </row>
    <row r="108" spans="1:10" x14ac:dyDescent="0.35">
      <c r="A108" t="s">
        <v>16</v>
      </c>
      <c r="B108" t="s">
        <v>31</v>
      </c>
      <c r="C108" t="s">
        <v>34</v>
      </c>
      <c r="D108" t="s">
        <v>15</v>
      </c>
      <c r="E108">
        <v>1022.23</v>
      </c>
      <c r="F108">
        <v>8</v>
      </c>
      <c r="G108">
        <v>0.1</v>
      </c>
      <c r="H108" s="51">
        <v>45717</v>
      </c>
      <c r="I108">
        <v>460</v>
      </c>
      <c r="J108" t="s">
        <v>127</v>
      </c>
    </row>
    <row r="109" spans="1:10" x14ac:dyDescent="0.35">
      <c r="A109" t="s">
        <v>72</v>
      </c>
      <c r="B109" t="s">
        <v>29</v>
      </c>
      <c r="C109" t="s">
        <v>18</v>
      </c>
      <c r="D109" t="s">
        <v>12</v>
      </c>
      <c r="E109">
        <v>1099.69</v>
      </c>
      <c r="F109">
        <v>6</v>
      </c>
      <c r="G109">
        <v>0</v>
      </c>
      <c r="H109" s="51">
        <v>45718</v>
      </c>
      <c r="I109">
        <v>439.88</v>
      </c>
      <c r="J109" t="s">
        <v>127</v>
      </c>
    </row>
    <row r="110" spans="1:10" x14ac:dyDescent="0.35">
      <c r="A110" t="s">
        <v>52</v>
      </c>
      <c r="B110" t="s">
        <v>64</v>
      </c>
      <c r="C110" t="s">
        <v>24</v>
      </c>
      <c r="D110" t="s">
        <v>12</v>
      </c>
      <c r="E110">
        <v>710.52</v>
      </c>
      <c r="F110">
        <v>8</v>
      </c>
      <c r="G110">
        <v>0.1</v>
      </c>
      <c r="H110" s="51">
        <v>45721</v>
      </c>
      <c r="I110">
        <v>255.79</v>
      </c>
      <c r="J110" t="s">
        <v>127</v>
      </c>
    </row>
    <row r="111" spans="1:10" x14ac:dyDescent="0.35">
      <c r="A111" t="s">
        <v>52</v>
      </c>
      <c r="B111" t="s">
        <v>59</v>
      </c>
      <c r="C111" t="s">
        <v>24</v>
      </c>
      <c r="D111" t="s">
        <v>12</v>
      </c>
      <c r="E111">
        <v>499.18</v>
      </c>
      <c r="F111">
        <v>15</v>
      </c>
      <c r="G111">
        <v>0.2</v>
      </c>
      <c r="H111" s="51">
        <v>45724</v>
      </c>
      <c r="I111">
        <v>159.74</v>
      </c>
      <c r="J111" t="s">
        <v>127</v>
      </c>
    </row>
    <row r="112" spans="1:10" x14ac:dyDescent="0.35">
      <c r="A112" t="s">
        <v>37</v>
      </c>
      <c r="B112" t="s">
        <v>38</v>
      </c>
      <c r="C112" t="s">
        <v>20</v>
      </c>
      <c r="D112" t="s">
        <v>12</v>
      </c>
      <c r="E112">
        <v>1064.19</v>
      </c>
      <c r="F112">
        <v>18</v>
      </c>
      <c r="G112">
        <v>0.05</v>
      </c>
      <c r="H112" s="51">
        <v>45725</v>
      </c>
      <c r="I112">
        <v>404.39</v>
      </c>
      <c r="J112" t="s">
        <v>127</v>
      </c>
    </row>
    <row r="113" spans="1:10" x14ac:dyDescent="0.35">
      <c r="A113" t="s">
        <v>67</v>
      </c>
      <c r="B113" t="s">
        <v>38</v>
      </c>
      <c r="C113" t="s">
        <v>18</v>
      </c>
      <c r="D113" t="s">
        <v>39</v>
      </c>
      <c r="E113">
        <v>438.76</v>
      </c>
      <c r="F113">
        <v>18</v>
      </c>
      <c r="G113">
        <v>0.05</v>
      </c>
      <c r="H113" s="51">
        <v>45726</v>
      </c>
      <c r="I113">
        <v>187.57</v>
      </c>
      <c r="J113" t="s">
        <v>127</v>
      </c>
    </row>
    <row r="114" spans="1:10" x14ac:dyDescent="0.35">
      <c r="A114" t="s">
        <v>41</v>
      </c>
      <c r="B114" t="s">
        <v>55</v>
      </c>
      <c r="C114" t="s">
        <v>11</v>
      </c>
      <c r="D114" t="s">
        <v>15</v>
      </c>
      <c r="E114">
        <v>864.98</v>
      </c>
      <c r="F114">
        <v>2</v>
      </c>
      <c r="G114">
        <v>0.05</v>
      </c>
      <c r="H114" s="51">
        <v>45727</v>
      </c>
      <c r="I114">
        <v>410.87</v>
      </c>
      <c r="J114" t="s">
        <v>127</v>
      </c>
    </row>
    <row r="115" spans="1:10" x14ac:dyDescent="0.35">
      <c r="A115" t="s">
        <v>57</v>
      </c>
      <c r="B115" t="s">
        <v>55</v>
      </c>
      <c r="C115" t="s">
        <v>11</v>
      </c>
      <c r="D115" t="s">
        <v>27</v>
      </c>
      <c r="E115">
        <v>984.93</v>
      </c>
      <c r="F115">
        <v>14</v>
      </c>
      <c r="G115">
        <v>0.2</v>
      </c>
      <c r="H115" s="51">
        <v>45733</v>
      </c>
      <c r="I115">
        <v>275.77999999999997</v>
      </c>
      <c r="J115" t="s">
        <v>127</v>
      </c>
    </row>
    <row r="116" spans="1:10" x14ac:dyDescent="0.35">
      <c r="A116" t="s">
        <v>25</v>
      </c>
      <c r="B116" t="s">
        <v>55</v>
      </c>
      <c r="C116" t="s">
        <v>11</v>
      </c>
      <c r="D116" t="s">
        <v>15</v>
      </c>
      <c r="E116">
        <v>1493.49</v>
      </c>
      <c r="F116">
        <v>18</v>
      </c>
      <c r="G116">
        <v>0</v>
      </c>
      <c r="H116" s="51">
        <v>45734</v>
      </c>
      <c r="I116">
        <v>746.74</v>
      </c>
      <c r="J116" t="s">
        <v>127</v>
      </c>
    </row>
    <row r="117" spans="1:10" x14ac:dyDescent="0.35">
      <c r="A117" t="s">
        <v>32</v>
      </c>
      <c r="B117" t="s">
        <v>53</v>
      </c>
      <c r="C117" t="s">
        <v>20</v>
      </c>
      <c r="D117" t="s">
        <v>15</v>
      </c>
      <c r="E117">
        <v>689.43</v>
      </c>
      <c r="F117">
        <v>9</v>
      </c>
      <c r="G117">
        <v>0.1</v>
      </c>
      <c r="H117" s="51">
        <v>45736</v>
      </c>
      <c r="I117">
        <v>310.24</v>
      </c>
      <c r="J117" t="s">
        <v>127</v>
      </c>
    </row>
    <row r="118" spans="1:10" x14ac:dyDescent="0.35">
      <c r="A118" t="s">
        <v>40</v>
      </c>
      <c r="B118" t="s">
        <v>59</v>
      </c>
      <c r="C118" t="s">
        <v>20</v>
      </c>
      <c r="D118" t="s">
        <v>15</v>
      </c>
      <c r="E118">
        <v>682.24</v>
      </c>
      <c r="F118">
        <v>1</v>
      </c>
      <c r="G118">
        <v>0</v>
      </c>
      <c r="H118" s="51">
        <v>45738</v>
      </c>
      <c r="I118">
        <v>341.12</v>
      </c>
      <c r="J118" t="s">
        <v>127</v>
      </c>
    </row>
    <row r="119" spans="1:10" x14ac:dyDescent="0.35">
      <c r="A119" t="s">
        <v>41</v>
      </c>
      <c r="B119" t="s">
        <v>26</v>
      </c>
      <c r="C119" t="s">
        <v>24</v>
      </c>
      <c r="D119" t="s">
        <v>21</v>
      </c>
      <c r="E119">
        <v>458.54</v>
      </c>
      <c r="F119">
        <v>15</v>
      </c>
      <c r="G119">
        <v>0.2</v>
      </c>
      <c r="H119" s="51">
        <v>45741</v>
      </c>
      <c r="I119">
        <v>91.71</v>
      </c>
      <c r="J119" t="s">
        <v>127</v>
      </c>
    </row>
    <row r="120" spans="1:10" x14ac:dyDescent="0.35">
      <c r="A120" t="s">
        <v>32</v>
      </c>
      <c r="B120" t="s">
        <v>26</v>
      </c>
      <c r="C120" t="s">
        <v>20</v>
      </c>
      <c r="D120" t="s">
        <v>27</v>
      </c>
      <c r="E120">
        <v>1184.25</v>
      </c>
      <c r="F120">
        <v>11</v>
      </c>
      <c r="G120">
        <v>0.2</v>
      </c>
      <c r="H120" s="51">
        <v>45742</v>
      </c>
      <c r="I120">
        <v>331.59</v>
      </c>
      <c r="J120" t="s">
        <v>127</v>
      </c>
    </row>
    <row r="121" spans="1:10" x14ac:dyDescent="0.35">
      <c r="A121" t="s">
        <v>25</v>
      </c>
      <c r="B121" t="s">
        <v>10</v>
      </c>
      <c r="C121" t="s">
        <v>20</v>
      </c>
      <c r="D121" t="s">
        <v>15</v>
      </c>
      <c r="E121">
        <v>762.14</v>
      </c>
      <c r="F121">
        <v>9</v>
      </c>
      <c r="G121">
        <v>0</v>
      </c>
      <c r="H121" s="51">
        <v>45743</v>
      </c>
      <c r="I121">
        <v>381.07</v>
      </c>
      <c r="J121" t="s">
        <v>127</v>
      </c>
    </row>
    <row r="122" spans="1:10" x14ac:dyDescent="0.35">
      <c r="A122" t="s">
        <v>22</v>
      </c>
      <c r="B122" t="s">
        <v>53</v>
      </c>
      <c r="C122" t="s">
        <v>24</v>
      </c>
      <c r="D122" t="s">
        <v>12</v>
      </c>
      <c r="E122">
        <v>750.71</v>
      </c>
      <c r="F122">
        <v>10</v>
      </c>
      <c r="G122">
        <v>0.15</v>
      </c>
      <c r="H122" s="51">
        <v>45743</v>
      </c>
      <c r="I122">
        <v>255.24</v>
      </c>
      <c r="J122" t="s">
        <v>127</v>
      </c>
    </row>
    <row r="123" spans="1:10" x14ac:dyDescent="0.35">
      <c r="A123" t="s">
        <v>75</v>
      </c>
      <c r="B123" t="s">
        <v>71</v>
      </c>
      <c r="C123" t="s">
        <v>34</v>
      </c>
      <c r="D123" t="s">
        <v>15</v>
      </c>
      <c r="E123">
        <v>1456.94</v>
      </c>
      <c r="F123">
        <v>14</v>
      </c>
      <c r="G123">
        <v>0.05</v>
      </c>
      <c r="H123" s="51">
        <v>45745</v>
      </c>
      <c r="I123">
        <v>692.05</v>
      </c>
      <c r="J123" t="s">
        <v>127</v>
      </c>
    </row>
    <row r="124" spans="1:10" x14ac:dyDescent="0.35">
      <c r="A124" t="s">
        <v>44</v>
      </c>
      <c r="B124" t="s">
        <v>61</v>
      </c>
      <c r="C124" t="s">
        <v>18</v>
      </c>
      <c r="D124" t="s">
        <v>27</v>
      </c>
      <c r="E124">
        <v>1093.3800000000001</v>
      </c>
      <c r="F124">
        <v>17</v>
      </c>
      <c r="G124">
        <v>0.1</v>
      </c>
      <c r="H124" s="51">
        <v>45745</v>
      </c>
      <c r="I124">
        <v>344.41</v>
      </c>
      <c r="J124" t="s">
        <v>127</v>
      </c>
    </row>
    <row r="125" spans="1:10" x14ac:dyDescent="0.35">
      <c r="A125" t="s">
        <v>37</v>
      </c>
      <c r="B125" t="s">
        <v>43</v>
      </c>
      <c r="C125" t="s">
        <v>11</v>
      </c>
      <c r="D125" t="s">
        <v>15</v>
      </c>
      <c r="E125">
        <v>934.27</v>
      </c>
      <c r="F125">
        <v>8</v>
      </c>
      <c r="G125">
        <v>0.15</v>
      </c>
      <c r="H125" s="51">
        <v>45746</v>
      </c>
      <c r="I125">
        <v>397.06</v>
      </c>
      <c r="J125" t="s">
        <v>127</v>
      </c>
    </row>
    <row r="126" spans="1:10" x14ac:dyDescent="0.35">
      <c r="A126" t="s">
        <v>70</v>
      </c>
      <c r="B126" t="s">
        <v>36</v>
      </c>
      <c r="C126" t="s">
        <v>34</v>
      </c>
      <c r="D126" t="s">
        <v>15</v>
      </c>
      <c r="E126">
        <v>1465.35</v>
      </c>
      <c r="F126">
        <v>8</v>
      </c>
      <c r="G126">
        <v>0.2</v>
      </c>
      <c r="H126" s="51">
        <v>45746</v>
      </c>
      <c r="I126">
        <v>586.14</v>
      </c>
      <c r="J126" t="s">
        <v>127</v>
      </c>
    </row>
    <row r="127" spans="1:10" x14ac:dyDescent="0.35">
      <c r="A127" t="s">
        <v>30</v>
      </c>
      <c r="B127" t="s">
        <v>31</v>
      </c>
      <c r="C127" t="s">
        <v>34</v>
      </c>
      <c r="D127" t="s">
        <v>21</v>
      </c>
      <c r="E127">
        <v>645.02</v>
      </c>
      <c r="F127">
        <v>4</v>
      </c>
      <c r="G127">
        <v>0</v>
      </c>
      <c r="H127" s="51">
        <v>45414</v>
      </c>
      <c r="I127">
        <v>161.26</v>
      </c>
      <c r="J127" t="s">
        <v>128</v>
      </c>
    </row>
    <row r="128" spans="1:10" x14ac:dyDescent="0.35">
      <c r="A128" t="s">
        <v>25</v>
      </c>
      <c r="B128" t="s">
        <v>48</v>
      </c>
      <c r="C128" t="s">
        <v>20</v>
      </c>
      <c r="D128" t="s">
        <v>15</v>
      </c>
      <c r="E128">
        <v>953.3</v>
      </c>
      <c r="F128">
        <v>11</v>
      </c>
      <c r="G128">
        <v>0</v>
      </c>
      <c r="H128" s="51">
        <v>45415</v>
      </c>
      <c r="I128">
        <v>476.65</v>
      </c>
      <c r="J128" t="s">
        <v>128</v>
      </c>
    </row>
    <row r="129" spans="1:10" x14ac:dyDescent="0.35">
      <c r="A129" t="s">
        <v>49</v>
      </c>
      <c r="B129" t="s">
        <v>14</v>
      </c>
      <c r="C129" t="s">
        <v>24</v>
      </c>
      <c r="D129" t="s">
        <v>21</v>
      </c>
      <c r="E129">
        <v>388.56</v>
      </c>
      <c r="F129">
        <v>14</v>
      </c>
      <c r="G129">
        <v>0.15</v>
      </c>
      <c r="H129" s="51">
        <v>45416</v>
      </c>
      <c r="I129">
        <v>82.57</v>
      </c>
      <c r="J129" t="s">
        <v>128</v>
      </c>
    </row>
    <row r="130" spans="1:10" x14ac:dyDescent="0.35">
      <c r="A130" t="s">
        <v>9</v>
      </c>
      <c r="B130" t="s">
        <v>31</v>
      </c>
      <c r="C130" t="s">
        <v>11</v>
      </c>
      <c r="D130" t="s">
        <v>12</v>
      </c>
      <c r="E130">
        <v>743.17</v>
      </c>
      <c r="F130">
        <v>9</v>
      </c>
      <c r="G130">
        <v>0</v>
      </c>
      <c r="H130" s="51">
        <v>45416</v>
      </c>
      <c r="I130">
        <v>297.27</v>
      </c>
      <c r="J130" t="s">
        <v>128</v>
      </c>
    </row>
    <row r="131" spans="1:10" x14ac:dyDescent="0.35">
      <c r="A131" t="s">
        <v>40</v>
      </c>
      <c r="B131" t="s">
        <v>31</v>
      </c>
      <c r="C131" t="s">
        <v>34</v>
      </c>
      <c r="D131" t="s">
        <v>21</v>
      </c>
      <c r="E131">
        <v>706.37</v>
      </c>
      <c r="F131">
        <v>6</v>
      </c>
      <c r="G131">
        <v>0</v>
      </c>
      <c r="H131" s="51">
        <v>45416</v>
      </c>
      <c r="I131">
        <v>176.59</v>
      </c>
      <c r="J131" t="s">
        <v>128</v>
      </c>
    </row>
    <row r="132" spans="1:10" x14ac:dyDescent="0.35">
      <c r="A132" t="s">
        <v>13</v>
      </c>
      <c r="B132" t="s">
        <v>31</v>
      </c>
      <c r="C132" t="s">
        <v>34</v>
      </c>
      <c r="D132" t="s">
        <v>39</v>
      </c>
      <c r="E132">
        <v>925.31</v>
      </c>
      <c r="F132">
        <v>8</v>
      </c>
      <c r="G132">
        <v>0.1</v>
      </c>
      <c r="H132" s="51">
        <v>45418</v>
      </c>
      <c r="I132">
        <v>374.75</v>
      </c>
      <c r="J132" t="s">
        <v>128</v>
      </c>
    </row>
    <row r="133" spans="1:10" x14ac:dyDescent="0.35">
      <c r="A133" t="s">
        <v>35</v>
      </c>
      <c r="B133" t="s">
        <v>50</v>
      </c>
      <c r="C133" t="s">
        <v>20</v>
      </c>
      <c r="D133" t="s">
        <v>21</v>
      </c>
      <c r="E133">
        <v>1173.1199999999999</v>
      </c>
      <c r="F133">
        <v>18</v>
      </c>
      <c r="G133">
        <v>0</v>
      </c>
      <c r="H133" s="51">
        <v>45418</v>
      </c>
      <c r="I133">
        <v>293.27999999999997</v>
      </c>
      <c r="J133" t="s">
        <v>128</v>
      </c>
    </row>
    <row r="134" spans="1:10" x14ac:dyDescent="0.35">
      <c r="A134" t="s">
        <v>22</v>
      </c>
      <c r="B134" t="s">
        <v>51</v>
      </c>
      <c r="C134" t="s">
        <v>24</v>
      </c>
      <c r="D134" t="s">
        <v>27</v>
      </c>
      <c r="E134">
        <v>675.54</v>
      </c>
      <c r="F134">
        <v>17</v>
      </c>
      <c r="G134">
        <v>0</v>
      </c>
      <c r="H134" s="51">
        <v>45420</v>
      </c>
      <c r="I134">
        <v>236.44</v>
      </c>
      <c r="J134" t="s">
        <v>128</v>
      </c>
    </row>
    <row r="135" spans="1:10" x14ac:dyDescent="0.35">
      <c r="A135" t="s">
        <v>25</v>
      </c>
      <c r="B135" t="s">
        <v>14</v>
      </c>
      <c r="C135" t="s">
        <v>34</v>
      </c>
      <c r="D135" t="s">
        <v>12</v>
      </c>
      <c r="E135">
        <v>939.09</v>
      </c>
      <c r="F135">
        <v>2</v>
      </c>
      <c r="G135">
        <v>0.05</v>
      </c>
      <c r="H135" s="51">
        <v>45422</v>
      </c>
      <c r="I135">
        <v>356.85</v>
      </c>
      <c r="J135" t="s">
        <v>128</v>
      </c>
    </row>
    <row r="136" spans="1:10" x14ac:dyDescent="0.35">
      <c r="A136" t="s">
        <v>52</v>
      </c>
      <c r="B136" t="s">
        <v>53</v>
      </c>
      <c r="C136" t="s">
        <v>18</v>
      </c>
      <c r="D136" t="s">
        <v>39</v>
      </c>
      <c r="E136">
        <v>983.34</v>
      </c>
      <c r="F136">
        <v>19</v>
      </c>
      <c r="G136">
        <v>0.1</v>
      </c>
      <c r="H136" s="51">
        <v>45426</v>
      </c>
      <c r="I136">
        <v>398.25</v>
      </c>
      <c r="J136" t="s">
        <v>128</v>
      </c>
    </row>
    <row r="137" spans="1:10" x14ac:dyDescent="0.35">
      <c r="A137" t="s">
        <v>52</v>
      </c>
      <c r="B137" t="s">
        <v>23</v>
      </c>
      <c r="C137" t="s">
        <v>20</v>
      </c>
      <c r="D137" t="s">
        <v>21</v>
      </c>
      <c r="E137">
        <v>801.21</v>
      </c>
      <c r="F137">
        <v>3</v>
      </c>
      <c r="G137">
        <v>0.2</v>
      </c>
      <c r="H137" s="51">
        <v>45426</v>
      </c>
      <c r="I137">
        <v>160.24</v>
      </c>
      <c r="J137" t="s">
        <v>128</v>
      </c>
    </row>
    <row r="138" spans="1:10" x14ac:dyDescent="0.35">
      <c r="A138" t="s">
        <v>54</v>
      </c>
      <c r="B138" t="s">
        <v>55</v>
      </c>
      <c r="C138" t="s">
        <v>24</v>
      </c>
      <c r="D138" t="s">
        <v>21</v>
      </c>
      <c r="E138">
        <v>1450.71</v>
      </c>
      <c r="F138">
        <v>5</v>
      </c>
      <c r="G138">
        <v>0.1</v>
      </c>
      <c r="H138" s="51">
        <v>45427</v>
      </c>
      <c r="I138">
        <v>326.41000000000003</v>
      </c>
      <c r="J138" t="s">
        <v>128</v>
      </c>
    </row>
    <row r="139" spans="1:10" x14ac:dyDescent="0.35">
      <c r="A139" t="s">
        <v>49</v>
      </c>
      <c r="B139" t="s">
        <v>56</v>
      </c>
      <c r="C139" t="s">
        <v>34</v>
      </c>
      <c r="D139" t="s">
        <v>12</v>
      </c>
      <c r="E139">
        <v>1023.21</v>
      </c>
      <c r="F139">
        <v>18</v>
      </c>
      <c r="G139">
        <v>0.05</v>
      </c>
      <c r="H139" s="51">
        <v>45428</v>
      </c>
      <c r="I139">
        <v>388.82</v>
      </c>
      <c r="J139" t="s">
        <v>128</v>
      </c>
    </row>
    <row r="140" spans="1:10" x14ac:dyDescent="0.35">
      <c r="A140" t="s">
        <v>28</v>
      </c>
      <c r="B140" t="s">
        <v>47</v>
      </c>
      <c r="C140" t="s">
        <v>11</v>
      </c>
      <c r="D140" t="s">
        <v>27</v>
      </c>
      <c r="E140">
        <v>853.72</v>
      </c>
      <c r="F140">
        <v>5</v>
      </c>
      <c r="G140">
        <v>0.15</v>
      </c>
      <c r="H140" s="51">
        <v>45428</v>
      </c>
      <c r="I140">
        <v>253.98</v>
      </c>
      <c r="J140" t="s">
        <v>128</v>
      </c>
    </row>
    <row r="141" spans="1:10" x14ac:dyDescent="0.35">
      <c r="A141" t="s">
        <v>57</v>
      </c>
      <c r="B141" t="s">
        <v>43</v>
      </c>
      <c r="C141" t="s">
        <v>20</v>
      </c>
      <c r="D141" t="s">
        <v>21</v>
      </c>
      <c r="E141">
        <v>967.89</v>
      </c>
      <c r="F141">
        <v>10</v>
      </c>
      <c r="G141">
        <v>0.1</v>
      </c>
      <c r="H141" s="51">
        <v>45429</v>
      </c>
      <c r="I141">
        <v>217.78</v>
      </c>
      <c r="J141" t="s">
        <v>128</v>
      </c>
    </row>
    <row r="142" spans="1:10" x14ac:dyDescent="0.35">
      <c r="A142" t="s">
        <v>58</v>
      </c>
      <c r="B142" t="s">
        <v>53</v>
      </c>
      <c r="C142" t="s">
        <v>24</v>
      </c>
      <c r="D142" t="s">
        <v>39</v>
      </c>
      <c r="E142">
        <v>1200.9000000000001</v>
      </c>
      <c r="F142">
        <v>14</v>
      </c>
      <c r="G142">
        <v>0.05</v>
      </c>
      <c r="H142" s="51">
        <v>45429</v>
      </c>
      <c r="I142">
        <v>513.38</v>
      </c>
      <c r="J142" t="s">
        <v>128</v>
      </c>
    </row>
    <row r="143" spans="1:10" x14ac:dyDescent="0.35">
      <c r="A143" t="s">
        <v>13</v>
      </c>
      <c r="B143" t="s">
        <v>26</v>
      </c>
      <c r="C143" t="s">
        <v>11</v>
      </c>
      <c r="D143" t="s">
        <v>12</v>
      </c>
      <c r="E143">
        <v>472.38</v>
      </c>
      <c r="F143">
        <v>12</v>
      </c>
      <c r="G143">
        <v>0.2</v>
      </c>
      <c r="H143" s="51">
        <v>45429</v>
      </c>
      <c r="I143">
        <v>151.16</v>
      </c>
      <c r="J143" t="s">
        <v>128</v>
      </c>
    </row>
    <row r="144" spans="1:10" x14ac:dyDescent="0.35">
      <c r="A144" t="s">
        <v>9</v>
      </c>
      <c r="B144" t="s">
        <v>55</v>
      </c>
      <c r="C144" t="s">
        <v>18</v>
      </c>
      <c r="D144" t="s">
        <v>39</v>
      </c>
      <c r="E144">
        <v>840.92</v>
      </c>
      <c r="F144">
        <v>9</v>
      </c>
      <c r="G144">
        <v>0.05</v>
      </c>
      <c r="H144" s="51">
        <v>45429</v>
      </c>
      <c r="I144">
        <v>359.49</v>
      </c>
      <c r="J144" t="s">
        <v>128</v>
      </c>
    </row>
    <row r="145" spans="1:10" x14ac:dyDescent="0.35">
      <c r="A145" t="s">
        <v>52</v>
      </c>
      <c r="B145" t="s">
        <v>48</v>
      </c>
      <c r="C145" t="s">
        <v>34</v>
      </c>
      <c r="D145" t="s">
        <v>27</v>
      </c>
      <c r="E145">
        <v>1410.06</v>
      </c>
      <c r="F145">
        <v>11</v>
      </c>
      <c r="G145">
        <v>0.05</v>
      </c>
      <c r="H145" s="51">
        <v>45434</v>
      </c>
      <c r="I145">
        <v>468.84</v>
      </c>
      <c r="J145" t="s">
        <v>128</v>
      </c>
    </row>
    <row r="146" spans="1:10" x14ac:dyDescent="0.35">
      <c r="A146" t="s">
        <v>44</v>
      </c>
      <c r="B146" t="s">
        <v>59</v>
      </c>
      <c r="C146" t="s">
        <v>34</v>
      </c>
      <c r="D146" t="s">
        <v>27</v>
      </c>
      <c r="E146">
        <v>773.09</v>
      </c>
      <c r="F146">
        <v>13</v>
      </c>
      <c r="G146">
        <v>0.15</v>
      </c>
      <c r="H146" s="51">
        <v>45434</v>
      </c>
      <c r="I146">
        <v>229.99</v>
      </c>
      <c r="J146" t="s">
        <v>128</v>
      </c>
    </row>
    <row r="147" spans="1:10" x14ac:dyDescent="0.35">
      <c r="A147" t="s">
        <v>60</v>
      </c>
      <c r="B147" t="s">
        <v>61</v>
      </c>
      <c r="C147" t="s">
        <v>18</v>
      </c>
      <c r="D147" t="s">
        <v>12</v>
      </c>
      <c r="E147">
        <v>580.42999999999995</v>
      </c>
      <c r="F147">
        <v>19</v>
      </c>
      <c r="G147">
        <v>0.15</v>
      </c>
      <c r="H147" s="51">
        <v>45435</v>
      </c>
      <c r="I147">
        <v>197.35</v>
      </c>
      <c r="J147" t="s">
        <v>128</v>
      </c>
    </row>
    <row r="148" spans="1:10" x14ac:dyDescent="0.35">
      <c r="A148" t="s">
        <v>73</v>
      </c>
      <c r="B148" t="s">
        <v>29</v>
      </c>
      <c r="C148" t="s">
        <v>34</v>
      </c>
      <c r="D148" t="s">
        <v>12</v>
      </c>
      <c r="E148">
        <v>1249.0999999999999</v>
      </c>
      <c r="F148">
        <v>4</v>
      </c>
      <c r="G148">
        <v>0.05</v>
      </c>
      <c r="H148" s="51">
        <v>45597</v>
      </c>
      <c r="I148">
        <v>474.66</v>
      </c>
      <c r="J148" t="s">
        <v>129</v>
      </c>
    </row>
    <row r="149" spans="1:10" x14ac:dyDescent="0.35">
      <c r="A149" t="s">
        <v>44</v>
      </c>
      <c r="B149" t="s">
        <v>23</v>
      </c>
      <c r="C149" t="s">
        <v>18</v>
      </c>
      <c r="D149" t="s">
        <v>39</v>
      </c>
      <c r="E149">
        <v>1014.22</v>
      </c>
      <c r="F149">
        <v>14</v>
      </c>
      <c r="G149">
        <v>0.05</v>
      </c>
      <c r="H149" s="51">
        <v>45599</v>
      </c>
      <c r="I149">
        <v>433.58</v>
      </c>
      <c r="J149" t="s">
        <v>129</v>
      </c>
    </row>
    <row r="150" spans="1:10" x14ac:dyDescent="0.35">
      <c r="A150" t="s">
        <v>54</v>
      </c>
      <c r="B150" t="s">
        <v>48</v>
      </c>
      <c r="C150" t="s">
        <v>18</v>
      </c>
      <c r="D150" t="s">
        <v>12</v>
      </c>
      <c r="E150">
        <v>1010.58</v>
      </c>
      <c r="F150">
        <v>2</v>
      </c>
      <c r="G150">
        <v>0.15</v>
      </c>
      <c r="H150" s="51">
        <v>45605</v>
      </c>
      <c r="I150">
        <v>343.6</v>
      </c>
      <c r="J150" t="s">
        <v>129</v>
      </c>
    </row>
    <row r="151" spans="1:10" x14ac:dyDescent="0.35">
      <c r="A151" t="s">
        <v>30</v>
      </c>
      <c r="B151" t="s">
        <v>59</v>
      </c>
      <c r="C151" t="s">
        <v>24</v>
      </c>
      <c r="D151" t="s">
        <v>27</v>
      </c>
      <c r="E151">
        <v>957.29</v>
      </c>
      <c r="F151">
        <v>4</v>
      </c>
      <c r="G151">
        <v>0.05</v>
      </c>
      <c r="H151" s="51">
        <v>45605</v>
      </c>
      <c r="I151">
        <v>318.3</v>
      </c>
      <c r="J151" t="s">
        <v>129</v>
      </c>
    </row>
    <row r="152" spans="1:10" x14ac:dyDescent="0.35">
      <c r="A152" t="s">
        <v>28</v>
      </c>
      <c r="B152" t="s">
        <v>45</v>
      </c>
      <c r="C152" t="s">
        <v>24</v>
      </c>
      <c r="D152" t="s">
        <v>27</v>
      </c>
      <c r="E152">
        <v>1077.92</v>
      </c>
      <c r="F152">
        <v>3</v>
      </c>
      <c r="G152">
        <v>0.05</v>
      </c>
      <c r="H152" s="51">
        <v>45608</v>
      </c>
      <c r="I152">
        <v>358.41</v>
      </c>
      <c r="J152" t="s">
        <v>129</v>
      </c>
    </row>
    <row r="153" spans="1:10" x14ac:dyDescent="0.35">
      <c r="A153" t="s">
        <v>52</v>
      </c>
      <c r="B153" t="s">
        <v>50</v>
      </c>
      <c r="C153" t="s">
        <v>20</v>
      </c>
      <c r="D153" t="s">
        <v>15</v>
      </c>
      <c r="E153">
        <v>1163.01</v>
      </c>
      <c r="F153">
        <v>5</v>
      </c>
      <c r="G153">
        <v>0</v>
      </c>
      <c r="H153" s="51">
        <v>45611</v>
      </c>
      <c r="I153">
        <v>581.5</v>
      </c>
      <c r="J153" t="s">
        <v>129</v>
      </c>
    </row>
    <row r="154" spans="1:10" x14ac:dyDescent="0.35">
      <c r="A154" t="s">
        <v>54</v>
      </c>
      <c r="B154" t="s">
        <v>45</v>
      </c>
      <c r="C154" t="s">
        <v>18</v>
      </c>
      <c r="D154" t="s">
        <v>39</v>
      </c>
      <c r="E154">
        <v>1014.56</v>
      </c>
      <c r="F154">
        <v>10</v>
      </c>
      <c r="G154">
        <v>0.1</v>
      </c>
      <c r="H154" s="51">
        <v>45612</v>
      </c>
      <c r="I154">
        <v>410.9</v>
      </c>
      <c r="J154" t="s">
        <v>129</v>
      </c>
    </row>
    <row r="155" spans="1:10" x14ac:dyDescent="0.35">
      <c r="A155" t="s">
        <v>9</v>
      </c>
      <c r="B155" t="s">
        <v>17</v>
      </c>
      <c r="C155" t="s">
        <v>20</v>
      </c>
      <c r="D155" t="s">
        <v>21</v>
      </c>
      <c r="E155">
        <v>718.04</v>
      </c>
      <c r="F155">
        <v>14</v>
      </c>
      <c r="G155">
        <v>0</v>
      </c>
      <c r="H155" s="51">
        <v>45613</v>
      </c>
      <c r="I155">
        <v>179.51</v>
      </c>
      <c r="J155" t="s">
        <v>129</v>
      </c>
    </row>
    <row r="156" spans="1:10" x14ac:dyDescent="0.35">
      <c r="A156" t="s">
        <v>72</v>
      </c>
      <c r="B156" t="s">
        <v>17</v>
      </c>
      <c r="C156" t="s">
        <v>34</v>
      </c>
      <c r="D156" t="s">
        <v>15</v>
      </c>
      <c r="E156">
        <v>1277.8499999999999</v>
      </c>
      <c r="F156">
        <v>18</v>
      </c>
      <c r="G156">
        <v>0.2</v>
      </c>
      <c r="H156" s="51">
        <v>45613</v>
      </c>
      <c r="I156">
        <v>511.14</v>
      </c>
      <c r="J156" t="s">
        <v>129</v>
      </c>
    </row>
    <row r="157" spans="1:10" x14ac:dyDescent="0.35">
      <c r="A157" t="s">
        <v>70</v>
      </c>
      <c r="B157" t="s">
        <v>23</v>
      </c>
      <c r="C157" t="s">
        <v>24</v>
      </c>
      <c r="D157" t="s">
        <v>21</v>
      </c>
      <c r="E157">
        <v>706.73</v>
      </c>
      <c r="F157">
        <v>1</v>
      </c>
      <c r="G157">
        <v>0.15</v>
      </c>
      <c r="H157" s="51">
        <v>45613</v>
      </c>
      <c r="I157">
        <v>150.18</v>
      </c>
      <c r="J157" t="s">
        <v>129</v>
      </c>
    </row>
    <row r="158" spans="1:10" x14ac:dyDescent="0.35">
      <c r="A158" t="s">
        <v>65</v>
      </c>
      <c r="B158" t="s">
        <v>50</v>
      </c>
      <c r="C158" t="s">
        <v>18</v>
      </c>
      <c r="D158" t="s">
        <v>21</v>
      </c>
      <c r="E158">
        <v>1410.59</v>
      </c>
      <c r="F158">
        <v>15</v>
      </c>
      <c r="G158">
        <v>0</v>
      </c>
      <c r="H158" s="51">
        <v>45615</v>
      </c>
      <c r="I158">
        <v>352.65</v>
      </c>
      <c r="J158" t="s">
        <v>129</v>
      </c>
    </row>
    <row r="159" spans="1:10" x14ac:dyDescent="0.35">
      <c r="A159" t="s">
        <v>32</v>
      </c>
      <c r="B159" t="s">
        <v>61</v>
      </c>
      <c r="C159" t="s">
        <v>20</v>
      </c>
      <c r="D159" t="s">
        <v>27</v>
      </c>
      <c r="E159">
        <v>1350.33</v>
      </c>
      <c r="F159">
        <v>10</v>
      </c>
      <c r="G159">
        <v>0</v>
      </c>
      <c r="H159" s="51">
        <v>45615</v>
      </c>
      <c r="I159">
        <v>472.62</v>
      </c>
      <c r="J159" t="s">
        <v>129</v>
      </c>
    </row>
    <row r="160" spans="1:10" x14ac:dyDescent="0.35">
      <c r="A160" t="s">
        <v>41</v>
      </c>
      <c r="B160" t="s">
        <v>45</v>
      </c>
      <c r="C160" t="s">
        <v>18</v>
      </c>
      <c r="D160" t="s">
        <v>21</v>
      </c>
      <c r="E160">
        <v>919.18</v>
      </c>
      <c r="F160">
        <v>4</v>
      </c>
      <c r="G160">
        <v>0.15</v>
      </c>
      <c r="H160" s="51">
        <v>45615</v>
      </c>
      <c r="I160">
        <v>195.33</v>
      </c>
      <c r="J160" t="s">
        <v>129</v>
      </c>
    </row>
    <row r="161" spans="1:10" x14ac:dyDescent="0.35">
      <c r="A161" t="s">
        <v>74</v>
      </c>
      <c r="B161" t="s">
        <v>23</v>
      </c>
      <c r="C161" t="s">
        <v>11</v>
      </c>
      <c r="D161" t="s">
        <v>21</v>
      </c>
      <c r="E161">
        <v>258.51</v>
      </c>
      <c r="F161">
        <v>19</v>
      </c>
      <c r="G161">
        <v>0</v>
      </c>
      <c r="H161" s="51">
        <v>45616</v>
      </c>
      <c r="I161">
        <v>64.63</v>
      </c>
      <c r="J161" t="s">
        <v>129</v>
      </c>
    </row>
    <row r="162" spans="1:10" x14ac:dyDescent="0.35">
      <c r="A162" t="s">
        <v>63</v>
      </c>
      <c r="B162" t="s">
        <v>61</v>
      </c>
      <c r="C162" t="s">
        <v>18</v>
      </c>
      <c r="D162" t="s">
        <v>12</v>
      </c>
      <c r="E162">
        <v>1213.48</v>
      </c>
      <c r="F162">
        <v>5</v>
      </c>
      <c r="G162">
        <v>0.05</v>
      </c>
      <c r="H162" s="51">
        <v>45616</v>
      </c>
      <c r="I162">
        <v>461.12</v>
      </c>
      <c r="J162" t="s">
        <v>129</v>
      </c>
    </row>
    <row r="163" spans="1:10" x14ac:dyDescent="0.35">
      <c r="A163" t="s">
        <v>57</v>
      </c>
      <c r="B163" t="s">
        <v>38</v>
      </c>
      <c r="C163" t="s">
        <v>34</v>
      </c>
      <c r="D163" t="s">
        <v>12</v>
      </c>
      <c r="E163">
        <v>1150.28</v>
      </c>
      <c r="F163">
        <v>8</v>
      </c>
      <c r="G163">
        <v>0.05</v>
      </c>
      <c r="H163" s="51">
        <v>45622</v>
      </c>
      <c r="I163">
        <v>437.11</v>
      </c>
      <c r="J163" t="s">
        <v>129</v>
      </c>
    </row>
    <row r="164" spans="1:10" x14ac:dyDescent="0.35">
      <c r="A164" t="s">
        <v>37</v>
      </c>
      <c r="B164" t="s">
        <v>71</v>
      </c>
      <c r="C164" t="s">
        <v>20</v>
      </c>
      <c r="D164" t="s">
        <v>27</v>
      </c>
      <c r="E164">
        <v>853.86</v>
      </c>
      <c r="F164">
        <v>8</v>
      </c>
      <c r="G164">
        <v>0.1</v>
      </c>
      <c r="H164" s="51">
        <v>45622</v>
      </c>
      <c r="I164">
        <v>268.97000000000003</v>
      </c>
      <c r="J164" t="s">
        <v>129</v>
      </c>
    </row>
    <row r="165" spans="1:10" x14ac:dyDescent="0.35">
      <c r="A165" t="s">
        <v>75</v>
      </c>
      <c r="B165" t="s">
        <v>45</v>
      </c>
      <c r="C165" t="s">
        <v>20</v>
      </c>
      <c r="D165" t="s">
        <v>21</v>
      </c>
      <c r="E165">
        <v>1061.04</v>
      </c>
      <c r="F165">
        <v>1</v>
      </c>
      <c r="G165">
        <v>0</v>
      </c>
      <c r="H165" s="51">
        <v>45624</v>
      </c>
      <c r="I165">
        <v>265.26</v>
      </c>
      <c r="J165" t="s">
        <v>129</v>
      </c>
    </row>
    <row r="166" spans="1:10" x14ac:dyDescent="0.35">
      <c r="A166" t="s">
        <v>28</v>
      </c>
      <c r="B166" t="s">
        <v>43</v>
      </c>
      <c r="C166" t="s">
        <v>11</v>
      </c>
      <c r="D166" t="s">
        <v>21</v>
      </c>
      <c r="E166">
        <v>894.55</v>
      </c>
      <c r="F166">
        <v>19</v>
      </c>
      <c r="G166">
        <v>0.2</v>
      </c>
      <c r="H166" s="51">
        <v>45625</v>
      </c>
      <c r="I166">
        <v>178.91</v>
      </c>
      <c r="J166" t="s">
        <v>129</v>
      </c>
    </row>
    <row r="167" spans="1:10" x14ac:dyDescent="0.35">
      <c r="A167" t="s">
        <v>25</v>
      </c>
      <c r="B167" t="s">
        <v>38</v>
      </c>
      <c r="C167" t="s">
        <v>24</v>
      </c>
      <c r="D167" t="s">
        <v>39</v>
      </c>
      <c r="E167">
        <v>833.91</v>
      </c>
      <c r="F167">
        <v>3</v>
      </c>
      <c r="G167">
        <v>0.05</v>
      </c>
      <c r="H167" s="51">
        <v>45626</v>
      </c>
      <c r="I167">
        <v>356.5</v>
      </c>
      <c r="J167" t="s">
        <v>129</v>
      </c>
    </row>
    <row r="168" spans="1:10" x14ac:dyDescent="0.35">
      <c r="A168" t="s">
        <v>44</v>
      </c>
      <c r="B168" t="s">
        <v>56</v>
      </c>
      <c r="C168" t="s">
        <v>34</v>
      </c>
      <c r="D168" t="s">
        <v>21</v>
      </c>
      <c r="E168">
        <v>1014.09</v>
      </c>
      <c r="F168">
        <v>13</v>
      </c>
      <c r="G168">
        <v>0.2</v>
      </c>
      <c r="H168" s="51">
        <v>45567</v>
      </c>
      <c r="I168">
        <v>202.82</v>
      </c>
      <c r="J168" t="s">
        <v>130</v>
      </c>
    </row>
    <row r="169" spans="1:10" x14ac:dyDescent="0.35">
      <c r="A169" t="s">
        <v>13</v>
      </c>
      <c r="B169" t="s">
        <v>48</v>
      </c>
      <c r="C169" t="s">
        <v>24</v>
      </c>
      <c r="D169" t="s">
        <v>21</v>
      </c>
      <c r="E169">
        <v>925.29</v>
      </c>
      <c r="F169">
        <v>17</v>
      </c>
      <c r="G169">
        <v>0</v>
      </c>
      <c r="H169" s="51">
        <v>45570</v>
      </c>
      <c r="I169">
        <v>231.32</v>
      </c>
      <c r="J169" t="s">
        <v>130</v>
      </c>
    </row>
    <row r="170" spans="1:10" x14ac:dyDescent="0.35">
      <c r="A170" t="s">
        <v>54</v>
      </c>
      <c r="B170" t="s">
        <v>47</v>
      </c>
      <c r="C170" t="s">
        <v>18</v>
      </c>
      <c r="D170" t="s">
        <v>27</v>
      </c>
      <c r="E170">
        <v>1286.54</v>
      </c>
      <c r="F170">
        <v>8</v>
      </c>
      <c r="G170">
        <v>0</v>
      </c>
      <c r="H170" s="51">
        <v>45575</v>
      </c>
      <c r="I170">
        <v>450.29</v>
      </c>
      <c r="J170" t="s">
        <v>130</v>
      </c>
    </row>
    <row r="171" spans="1:10" x14ac:dyDescent="0.35">
      <c r="A171" t="s">
        <v>37</v>
      </c>
      <c r="B171" t="s">
        <v>64</v>
      </c>
      <c r="C171" t="s">
        <v>20</v>
      </c>
      <c r="D171" t="s">
        <v>12</v>
      </c>
      <c r="E171">
        <v>961.62</v>
      </c>
      <c r="F171">
        <v>8</v>
      </c>
      <c r="G171">
        <v>0.2</v>
      </c>
      <c r="H171" s="51">
        <v>45577</v>
      </c>
      <c r="I171">
        <v>307.72000000000003</v>
      </c>
      <c r="J171" t="s">
        <v>130</v>
      </c>
    </row>
    <row r="172" spans="1:10" x14ac:dyDescent="0.35">
      <c r="A172" t="s">
        <v>44</v>
      </c>
      <c r="B172" t="s">
        <v>23</v>
      </c>
      <c r="C172" t="s">
        <v>18</v>
      </c>
      <c r="D172" t="s">
        <v>12</v>
      </c>
      <c r="E172">
        <v>1081.1400000000001</v>
      </c>
      <c r="F172">
        <v>19</v>
      </c>
      <c r="G172">
        <v>0.15</v>
      </c>
      <c r="H172" s="51">
        <v>45577</v>
      </c>
      <c r="I172">
        <v>367.59</v>
      </c>
      <c r="J172" t="s">
        <v>130</v>
      </c>
    </row>
    <row r="173" spans="1:10" x14ac:dyDescent="0.35">
      <c r="A173" t="s">
        <v>58</v>
      </c>
      <c r="B173" t="s">
        <v>23</v>
      </c>
      <c r="C173" t="s">
        <v>11</v>
      </c>
      <c r="D173" t="s">
        <v>15</v>
      </c>
      <c r="E173">
        <v>1923.66</v>
      </c>
      <c r="F173">
        <v>9</v>
      </c>
      <c r="G173">
        <v>0.2</v>
      </c>
      <c r="H173" s="51">
        <v>45580</v>
      </c>
      <c r="I173">
        <v>769.46</v>
      </c>
      <c r="J173" t="s">
        <v>130</v>
      </c>
    </row>
    <row r="174" spans="1:10" x14ac:dyDescent="0.35">
      <c r="A174" t="s">
        <v>54</v>
      </c>
      <c r="B174" t="s">
        <v>66</v>
      </c>
      <c r="C174" t="s">
        <v>34</v>
      </c>
      <c r="D174" t="s">
        <v>15</v>
      </c>
      <c r="E174">
        <v>728.71</v>
      </c>
      <c r="F174">
        <v>14</v>
      </c>
      <c r="G174">
        <v>0.1</v>
      </c>
      <c r="H174" s="51">
        <v>45581</v>
      </c>
      <c r="I174">
        <v>327.92</v>
      </c>
      <c r="J174" t="s">
        <v>130</v>
      </c>
    </row>
    <row r="175" spans="1:10" x14ac:dyDescent="0.35">
      <c r="A175" t="s">
        <v>9</v>
      </c>
      <c r="B175" t="s">
        <v>33</v>
      </c>
      <c r="C175" t="s">
        <v>34</v>
      </c>
      <c r="D175" t="s">
        <v>15</v>
      </c>
      <c r="E175">
        <v>1301.8900000000001</v>
      </c>
      <c r="F175">
        <v>7</v>
      </c>
      <c r="G175">
        <v>0.15</v>
      </c>
      <c r="H175" s="51">
        <v>45581</v>
      </c>
      <c r="I175">
        <v>553.29999999999995</v>
      </c>
      <c r="J175" t="s">
        <v>130</v>
      </c>
    </row>
    <row r="176" spans="1:10" x14ac:dyDescent="0.35">
      <c r="A176" t="s">
        <v>70</v>
      </c>
      <c r="B176" t="s">
        <v>66</v>
      </c>
      <c r="C176" t="s">
        <v>18</v>
      </c>
      <c r="D176" t="s">
        <v>12</v>
      </c>
      <c r="E176">
        <v>980.18</v>
      </c>
      <c r="F176">
        <v>16</v>
      </c>
      <c r="G176">
        <v>0.1</v>
      </c>
      <c r="H176" s="51">
        <v>45582</v>
      </c>
      <c r="I176">
        <v>352.86</v>
      </c>
      <c r="J176" t="s">
        <v>130</v>
      </c>
    </row>
    <row r="177" spans="1:10" x14ac:dyDescent="0.35">
      <c r="A177" t="s">
        <v>74</v>
      </c>
      <c r="B177" t="s">
        <v>23</v>
      </c>
      <c r="C177" t="s">
        <v>11</v>
      </c>
      <c r="D177" t="s">
        <v>15</v>
      </c>
      <c r="E177">
        <v>697.57</v>
      </c>
      <c r="F177">
        <v>17</v>
      </c>
      <c r="G177">
        <v>0.1</v>
      </c>
      <c r="H177" s="51">
        <v>45584</v>
      </c>
      <c r="I177">
        <v>313.91000000000003</v>
      </c>
      <c r="J177" t="s">
        <v>130</v>
      </c>
    </row>
    <row r="178" spans="1:10" x14ac:dyDescent="0.35">
      <c r="A178" t="s">
        <v>46</v>
      </c>
      <c r="B178" t="s">
        <v>71</v>
      </c>
      <c r="C178" t="s">
        <v>11</v>
      </c>
      <c r="D178" t="s">
        <v>27</v>
      </c>
      <c r="E178">
        <v>1193.6099999999999</v>
      </c>
      <c r="F178">
        <v>1</v>
      </c>
      <c r="G178">
        <v>0.15</v>
      </c>
      <c r="H178" s="51">
        <v>45584</v>
      </c>
      <c r="I178">
        <v>355.1</v>
      </c>
      <c r="J178" t="s">
        <v>130</v>
      </c>
    </row>
    <row r="179" spans="1:10" x14ac:dyDescent="0.35">
      <c r="A179" t="s">
        <v>32</v>
      </c>
      <c r="B179" t="s">
        <v>38</v>
      </c>
      <c r="C179" t="s">
        <v>20</v>
      </c>
      <c r="D179" t="s">
        <v>21</v>
      </c>
      <c r="E179">
        <v>771.02</v>
      </c>
      <c r="F179">
        <v>1</v>
      </c>
      <c r="G179">
        <v>0</v>
      </c>
      <c r="H179" s="51">
        <v>45585</v>
      </c>
      <c r="I179">
        <v>192.76</v>
      </c>
      <c r="J179" t="s">
        <v>130</v>
      </c>
    </row>
    <row r="180" spans="1:10" x14ac:dyDescent="0.35">
      <c r="A180" t="s">
        <v>67</v>
      </c>
      <c r="B180" t="s">
        <v>69</v>
      </c>
      <c r="C180" t="s">
        <v>24</v>
      </c>
      <c r="D180" t="s">
        <v>15</v>
      </c>
      <c r="E180">
        <v>661.09</v>
      </c>
      <c r="F180">
        <v>1</v>
      </c>
      <c r="G180">
        <v>0.2</v>
      </c>
      <c r="H180" s="51">
        <v>45593</v>
      </c>
      <c r="I180">
        <v>264.44</v>
      </c>
      <c r="J180" t="s">
        <v>130</v>
      </c>
    </row>
    <row r="181" spans="1:10" x14ac:dyDescent="0.35">
      <c r="A181" t="s">
        <v>13</v>
      </c>
      <c r="B181" t="s">
        <v>55</v>
      </c>
      <c r="C181" t="s">
        <v>11</v>
      </c>
      <c r="D181" t="s">
        <v>21</v>
      </c>
      <c r="E181">
        <v>688.83</v>
      </c>
      <c r="F181">
        <v>15</v>
      </c>
      <c r="G181">
        <v>0</v>
      </c>
      <c r="H181" s="51">
        <v>45595</v>
      </c>
      <c r="I181">
        <v>172.21</v>
      </c>
      <c r="J181" t="s">
        <v>130</v>
      </c>
    </row>
    <row r="182" spans="1:10" x14ac:dyDescent="0.35">
      <c r="A182" t="s">
        <v>52</v>
      </c>
      <c r="B182" t="s">
        <v>50</v>
      </c>
      <c r="C182" t="s">
        <v>34</v>
      </c>
      <c r="D182" t="s">
        <v>21</v>
      </c>
      <c r="E182">
        <v>790.08</v>
      </c>
      <c r="F182">
        <v>7</v>
      </c>
      <c r="G182">
        <v>0.1</v>
      </c>
      <c r="H182" s="51">
        <v>45536</v>
      </c>
      <c r="I182">
        <v>177.77</v>
      </c>
      <c r="J182" t="s">
        <v>131</v>
      </c>
    </row>
    <row r="183" spans="1:10" x14ac:dyDescent="0.35">
      <c r="A183" t="s">
        <v>19</v>
      </c>
      <c r="B183" t="s">
        <v>48</v>
      </c>
      <c r="C183" t="s">
        <v>34</v>
      </c>
      <c r="D183" t="s">
        <v>12</v>
      </c>
      <c r="E183">
        <v>1070.68</v>
      </c>
      <c r="F183">
        <v>7</v>
      </c>
      <c r="G183">
        <v>0.05</v>
      </c>
      <c r="H183" s="51">
        <v>45536</v>
      </c>
      <c r="I183">
        <v>406.86</v>
      </c>
      <c r="J183" t="s">
        <v>131</v>
      </c>
    </row>
    <row r="184" spans="1:10" x14ac:dyDescent="0.35">
      <c r="A184" t="s">
        <v>58</v>
      </c>
      <c r="B184" t="s">
        <v>36</v>
      </c>
      <c r="C184" t="s">
        <v>11</v>
      </c>
      <c r="D184" t="s">
        <v>15</v>
      </c>
      <c r="E184">
        <v>1168.8900000000001</v>
      </c>
      <c r="F184">
        <v>4</v>
      </c>
      <c r="G184">
        <v>0.1</v>
      </c>
      <c r="H184" s="51">
        <v>45544</v>
      </c>
      <c r="I184">
        <v>526</v>
      </c>
      <c r="J184" t="s">
        <v>131</v>
      </c>
    </row>
    <row r="185" spans="1:10" x14ac:dyDescent="0.35">
      <c r="A185" t="s">
        <v>67</v>
      </c>
      <c r="B185" t="s">
        <v>10</v>
      </c>
      <c r="C185" t="s">
        <v>20</v>
      </c>
      <c r="D185" t="s">
        <v>21</v>
      </c>
      <c r="E185">
        <v>1335.87</v>
      </c>
      <c r="F185">
        <v>17</v>
      </c>
      <c r="G185">
        <v>0</v>
      </c>
      <c r="H185" s="51">
        <v>45544</v>
      </c>
      <c r="I185">
        <v>333.97</v>
      </c>
      <c r="J185" t="s">
        <v>131</v>
      </c>
    </row>
    <row r="186" spans="1:10" x14ac:dyDescent="0.35">
      <c r="A186" t="s">
        <v>40</v>
      </c>
      <c r="B186" t="s">
        <v>55</v>
      </c>
      <c r="C186" t="s">
        <v>18</v>
      </c>
      <c r="D186" t="s">
        <v>27</v>
      </c>
      <c r="E186">
        <v>873.7</v>
      </c>
      <c r="F186">
        <v>9</v>
      </c>
      <c r="G186">
        <v>0</v>
      </c>
      <c r="H186" s="51">
        <v>45546</v>
      </c>
      <c r="I186">
        <v>305.8</v>
      </c>
      <c r="J186" t="s">
        <v>131</v>
      </c>
    </row>
    <row r="187" spans="1:10" x14ac:dyDescent="0.35">
      <c r="A187" t="s">
        <v>72</v>
      </c>
      <c r="B187" t="s">
        <v>64</v>
      </c>
      <c r="C187" t="s">
        <v>11</v>
      </c>
      <c r="D187" t="s">
        <v>39</v>
      </c>
      <c r="E187">
        <v>1443.98</v>
      </c>
      <c r="F187">
        <v>19</v>
      </c>
      <c r="G187">
        <v>0</v>
      </c>
      <c r="H187" s="51">
        <v>45547</v>
      </c>
      <c r="I187">
        <v>649.79</v>
      </c>
      <c r="J187" t="s">
        <v>131</v>
      </c>
    </row>
    <row r="188" spans="1:10" x14ac:dyDescent="0.35">
      <c r="A188" t="s">
        <v>40</v>
      </c>
      <c r="B188" t="s">
        <v>23</v>
      </c>
      <c r="C188" t="s">
        <v>18</v>
      </c>
      <c r="D188" t="s">
        <v>39</v>
      </c>
      <c r="E188">
        <v>1154.33</v>
      </c>
      <c r="F188">
        <v>11</v>
      </c>
      <c r="G188">
        <v>0.15</v>
      </c>
      <c r="H188" s="51">
        <v>45549</v>
      </c>
      <c r="I188">
        <v>441.53</v>
      </c>
      <c r="J188" t="s">
        <v>131</v>
      </c>
    </row>
    <row r="189" spans="1:10" x14ac:dyDescent="0.35">
      <c r="A189" t="s">
        <v>49</v>
      </c>
      <c r="B189" t="s">
        <v>50</v>
      </c>
      <c r="C189" t="s">
        <v>20</v>
      </c>
      <c r="D189" t="s">
        <v>12</v>
      </c>
      <c r="E189">
        <v>1264.49</v>
      </c>
      <c r="F189">
        <v>16</v>
      </c>
      <c r="G189">
        <v>0.05</v>
      </c>
      <c r="H189" s="51">
        <v>45549</v>
      </c>
      <c r="I189">
        <v>480.51</v>
      </c>
      <c r="J189" t="s">
        <v>131</v>
      </c>
    </row>
    <row r="190" spans="1:10" x14ac:dyDescent="0.35">
      <c r="A190" t="s">
        <v>25</v>
      </c>
      <c r="B190" t="s">
        <v>66</v>
      </c>
      <c r="C190" t="s">
        <v>11</v>
      </c>
      <c r="D190" t="s">
        <v>27</v>
      </c>
      <c r="E190">
        <v>1101.55</v>
      </c>
      <c r="F190">
        <v>4</v>
      </c>
      <c r="G190">
        <v>0.1</v>
      </c>
      <c r="H190" s="51">
        <v>45551</v>
      </c>
      <c r="I190">
        <v>346.99</v>
      </c>
      <c r="J190" t="s">
        <v>131</v>
      </c>
    </row>
    <row r="191" spans="1:10" x14ac:dyDescent="0.35">
      <c r="A191" t="s">
        <v>73</v>
      </c>
      <c r="B191" t="s">
        <v>14</v>
      </c>
      <c r="C191" t="s">
        <v>20</v>
      </c>
      <c r="D191" t="s">
        <v>27</v>
      </c>
      <c r="E191">
        <v>727.73</v>
      </c>
      <c r="F191">
        <v>1</v>
      </c>
      <c r="G191">
        <v>0.1</v>
      </c>
      <c r="H191" s="51">
        <v>45552</v>
      </c>
      <c r="I191">
        <v>229.23</v>
      </c>
      <c r="J191" t="s">
        <v>131</v>
      </c>
    </row>
    <row r="192" spans="1:10" x14ac:dyDescent="0.35">
      <c r="A192" t="s">
        <v>74</v>
      </c>
      <c r="B192" t="s">
        <v>38</v>
      </c>
      <c r="C192" t="s">
        <v>18</v>
      </c>
      <c r="D192" t="s">
        <v>39</v>
      </c>
      <c r="E192">
        <v>875.41</v>
      </c>
      <c r="F192">
        <v>13</v>
      </c>
      <c r="G192">
        <v>0.15</v>
      </c>
      <c r="H192" s="51">
        <v>45552</v>
      </c>
      <c r="I192">
        <v>334.84</v>
      </c>
      <c r="J192" t="s">
        <v>131</v>
      </c>
    </row>
    <row r="193" spans="1:10" x14ac:dyDescent="0.35">
      <c r="A193" t="s">
        <v>67</v>
      </c>
      <c r="B193" t="s">
        <v>23</v>
      </c>
      <c r="C193" t="s">
        <v>11</v>
      </c>
      <c r="D193" t="s">
        <v>21</v>
      </c>
      <c r="E193">
        <v>1158.94</v>
      </c>
      <c r="F193">
        <v>19</v>
      </c>
      <c r="G193">
        <v>0.2</v>
      </c>
      <c r="H193" s="51">
        <v>45553</v>
      </c>
      <c r="I193">
        <v>231.79</v>
      </c>
      <c r="J193" t="s">
        <v>131</v>
      </c>
    </row>
    <row r="194" spans="1:10" x14ac:dyDescent="0.35">
      <c r="A194" t="s">
        <v>75</v>
      </c>
      <c r="B194" t="s">
        <v>47</v>
      </c>
      <c r="C194" t="s">
        <v>20</v>
      </c>
      <c r="D194" t="s">
        <v>12</v>
      </c>
      <c r="E194">
        <v>966.3</v>
      </c>
      <c r="F194">
        <v>2</v>
      </c>
      <c r="G194">
        <v>0.15</v>
      </c>
      <c r="H194" s="51">
        <v>45557</v>
      </c>
      <c r="I194">
        <v>328.54</v>
      </c>
      <c r="J194" t="s">
        <v>131</v>
      </c>
    </row>
    <row r="195" spans="1:10" x14ac:dyDescent="0.35">
      <c r="A195" t="s">
        <v>68</v>
      </c>
      <c r="B195" t="s">
        <v>17</v>
      </c>
      <c r="C195" t="s">
        <v>20</v>
      </c>
      <c r="D195" t="s">
        <v>12</v>
      </c>
      <c r="E195">
        <v>917.48</v>
      </c>
      <c r="F195">
        <v>6</v>
      </c>
      <c r="G195">
        <v>0</v>
      </c>
      <c r="H195" s="51">
        <v>45558</v>
      </c>
      <c r="I195">
        <v>366.99</v>
      </c>
      <c r="J195" t="s">
        <v>131</v>
      </c>
    </row>
    <row r="196" spans="1:10" x14ac:dyDescent="0.35">
      <c r="A196" t="s">
        <v>41</v>
      </c>
      <c r="B196" t="s">
        <v>61</v>
      </c>
      <c r="C196" t="s">
        <v>11</v>
      </c>
      <c r="D196" t="s">
        <v>27</v>
      </c>
      <c r="E196">
        <v>1172.97</v>
      </c>
      <c r="F196">
        <v>7</v>
      </c>
      <c r="G196">
        <v>0.15</v>
      </c>
      <c r="H196" s="51">
        <v>45559</v>
      </c>
      <c r="I196">
        <v>348.96</v>
      </c>
      <c r="J196" t="s">
        <v>131</v>
      </c>
    </row>
    <row r="197" spans="1:10" x14ac:dyDescent="0.35">
      <c r="A197" t="s">
        <v>57</v>
      </c>
      <c r="B197" t="s">
        <v>23</v>
      </c>
      <c r="C197" t="s">
        <v>24</v>
      </c>
      <c r="D197" t="s">
        <v>15</v>
      </c>
      <c r="E197">
        <v>1205.82</v>
      </c>
      <c r="F197">
        <v>11</v>
      </c>
      <c r="G197">
        <v>0.1</v>
      </c>
      <c r="H197" s="51">
        <v>45559</v>
      </c>
      <c r="I197">
        <v>542.62</v>
      </c>
      <c r="J197" t="s">
        <v>131</v>
      </c>
    </row>
    <row r="198" spans="1:10" x14ac:dyDescent="0.35">
      <c r="A198" t="s">
        <v>16</v>
      </c>
      <c r="B198" t="s">
        <v>64</v>
      </c>
      <c r="C198" t="s">
        <v>11</v>
      </c>
      <c r="D198" t="s">
        <v>39</v>
      </c>
      <c r="E198">
        <v>826.93</v>
      </c>
      <c r="F198">
        <v>10</v>
      </c>
      <c r="G198">
        <v>0.2</v>
      </c>
      <c r="H198" s="51">
        <v>45564</v>
      </c>
      <c r="I198">
        <v>297.69</v>
      </c>
      <c r="J198" t="s">
        <v>131</v>
      </c>
    </row>
    <row r="199" spans="1:10" x14ac:dyDescent="0.35">
      <c r="A199" t="s">
        <v>67</v>
      </c>
      <c r="B199" t="s">
        <v>23</v>
      </c>
      <c r="C199" t="s">
        <v>34</v>
      </c>
      <c r="D199" t="s">
        <v>15</v>
      </c>
      <c r="E199">
        <v>902.19</v>
      </c>
      <c r="F199">
        <v>12</v>
      </c>
      <c r="G199">
        <v>0</v>
      </c>
      <c r="H199" s="51">
        <v>45564</v>
      </c>
      <c r="I199">
        <v>451.1</v>
      </c>
      <c r="J199" t="s">
        <v>131</v>
      </c>
    </row>
    <row r="200" spans="1:10" x14ac:dyDescent="0.35">
      <c r="A200" t="s">
        <v>74</v>
      </c>
      <c r="B200" t="s">
        <v>38</v>
      </c>
      <c r="C200" t="s">
        <v>24</v>
      </c>
      <c r="D200" t="s">
        <v>12</v>
      </c>
      <c r="E200">
        <v>585.97</v>
      </c>
      <c r="F200">
        <v>17</v>
      </c>
      <c r="G200">
        <v>0.1</v>
      </c>
      <c r="H200" s="51">
        <v>45565</v>
      </c>
      <c r="I200">
        <v>210.95</v>
      </c>
      <c r="J200" t="s">
        <v>131</v>
      </c>
    </row>
    <row r="201" spans="1:10" x14ac:dyDescent="0.35">
      <c r="A201" t="s">
        <v>60</v>
      </c>
      <c r="B201" t="s">
        <v>26</v>
      </c>
      <c r="C201" t="s">
        <v>24</v>
      </c>
      <c r="D201" t="s">
        <v>15</v>
      </c>
      <c r="E201">
        <v>990.19</v>
      </c>
      <c r="F201">
        <v>8</v>
      </c>
      <c r="G201">
        <v>0.1</v>
      </c>
      <c r="H201" s="51">
        <v>45565</v>
      </c>
      <c r="I201">
        <v>445.59</v>
      </c>
      <c r="J201" t="s">
        <v>131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43D9A-8887-4CBC-84E6-0D88B4BAFAE1}">
  <dimension ref="A1:O201"/>
  <sheetViews>
    <sheetView topLeftCell="C7" workbookViewId="0">
      <selection activeCell="N21" sqref="N21"/>
    </sheetView>
  </sheetViews>
  <sheetFormatPr defaultRowHeight="14.5" x14ac:dyDescent="0.35"/>
  <cols>
    <col min="1" max="1" width="11.81640625" customWidth="1"/>
    <col min="2" max="2" width="15.453125" customWidth="1"/>
    <col min="4" max="4" width="16" customWidth="1"/>
    <col min="8" max="8" width="12.90625" customWidth="1"/>
    <col min="13" max="13" width="12.36328125" bestFit="1" customWidth="1"/>
    <col min="14" max="14" width="11.26953125" bestFit="1" customWidth="1"/>
  </cols>
  <sheetData>
    <row r="1" spans="1:15" ht="16.5" customHeight="1" thickBot="1" x14ac:dyDescent="0.4">
      <c r="A1" s="16" t="s">
        <v>0</v>
      </c>
      <c r="B1" s="16" t="s">
        <v>1</v>
      </c>
      <c r="C1" s="16" t="s">
        <v>2</v>
      </c>
      <c r="D1" s="16" t="s">
        <v>3</v>
      </c>
      <c r="E1" s="16" t="s">
        <v>4</v>
      </c>
      <c r="F1" s="16" t="s">
        <v>5</v>
      </c>
      <c r="G1" s="16" t="s">
        <v>6</v>
      </c>
      <c r="H1" s="16" t="s">
        <v>7</v>
      </c>
      <c r="I1" s="16" t="s">
        <v>8</v>
      </c>
      <c r="J1" s="33" t="s">
        <v>118</v>
      </c>
    </row>
    <row r="2" spans="1:15" ht="16.5" customHeight="1" thickBot="1" x14ac:dyDescent="0.4">
      <c r="A2" s="1" t="s">
        <v>9</v>
      </c>
      <c r="B2" s="1" t="s">
        <v>10</v>
      </c>
      <c r="C2" s="1" t="s">
        <v>11</v>
      </c>
      <c r="D2" s="1" t="s">
        <v>12</v>
      </c>
      <c r="E2" s="2">
        <v>1036.0899999999999</v>
      </c>
      <c r="F2" s="2">
        <v>4</v>
      </c>
      <c r="G2" s="2">
        <v>0.2</v>
      </c>
      <c r="H2" s="3">
        <v>45392</v>
      </c>
      <c r="I2" s="2">
        <v>331.55</v>
      </c>
      <c r="J2" t="str">
        <f t="shared" ref="J2:J66" si="0">TEXT(H2,"mmm-yyyy")</f>
        <v>Apr-2024</v>
      </c>
    </row>
    <row r="3" spans="1:15" ht="16.5" customHeight="1" thickBot="1" x14ac:dyDescent="0.4">
      <c r="A3" s="1" t="s">
        <v>13</v>
      </c>
      <c r="B3" s="1" t="s">
        <v>14</v>
      </c>
      <c r="C3" s="1" t="s">
        <v>11</v>
      </c>
      <c r="D3" s="1" t="s">
        <v>15</v>
      </c>
      <c r="E3" s="2">
        <v>1101.28</v>
      </c>
      <c r="F3" s="2">
        <v>3</v>
      </c>
      <c r="G3" s="2">
        <v>0.2</v>
      </c>
      <c r="H3" s="3">
        <v>45393</v>
      </c>
      <c r="I3" s="2">
        <v>440.51</v>
      </c>
      <c r="J3" t="str">
        <f t="shared" si="0"/>
        <v>Apr-2024</v>
      </c>
    </row>
    <row r="4" spans="1:15" ht="16.5" customHeight="1" thickBot="1" x14ac:dyDescent="0.4">
      <c r="A4" s="1" t="s">
        <v>16</v>
      </c>
      <c r="B4" s="1" t="s">
        <v>17</v>
      </c>
      <c r="C4" s="1" t="s">
        <v>18</v>
      </c>
      <c r="D4" s="1" t="s">
        <v>12</v>
      </c>
      <c r="E4" s="2">
        <v>713.34</v>
      </c>
      <c r="F4" s="2">
        <v>17</v>
      </c>
      <c r="G4" s="2">
        <v>0</v>
      </c>
      <c r="H4" s="3">
        <v>45396</v>
      </c>
      <c r="I4" s="2">
        <v>285.33999999999997</v>
      </c>
      <c r="J4" t="str">
        <f t="shared" si="0"/>
        <v>Apr-2024</v>
      </c>
    </row>
    <row r="5" spans="1:15" ht="16.5" customHeight="1" thickBot="1" x14ac:dyDescent="0.4">
      <c r="A5" s="1" t="s">
        <v>19</v>
      </c>
      <c r="B5" s="1" t="s">
        <v>14</v>
      </c>
      <c r="C5" s="1" t="s">
        <v>20</v>
      </c>
      <c r="D5" s="1" t="s">
        <v>21</v>
      </c>
      <c r="E5" s="2">
        <v>760.93</v>
      </c>
      <c r="F5" s="2">
        <v>4</v>
      </c>
      <c r="G5" s="2">
        <v>0.15</v>
      </c>
      <c r="H5" s="3">
        <v>45396</v>
      </c>
      <c r="I5" s="2">
        <v>161.69999999999999</v>
      </c>
      <c r="J5" t="str">
        <f t="shared" si="0"/>
        <v>Apr-2024</v>
      </c>
    </row>
    <row r="6" spans="1:15" ht="16.5" customHeight="1" thickBot="1" x14ac:dyDescent="0.4">
      <c r="A6" s="1" t="s">
        <v>22</v>
      </c>
      <c r="B6" s="1" t="s">
        <v>23</v>
      </c>
      <c r="C6" s="1" t="s">
        <v>24</v>
      </c>
      <c r="D6" s="1" t="s">
        <v>12</v>
      </c>
      <c r="E6" s="2">
        <v>847</v>
      </c>
      <c r="F6" s="2">
        <v>12</v>
      </c>
      <c r="G6" s="2">
        <v>0.2</v>
      </c>
      <c r="H6" s="3">
        <v>45397</v>
      </c>
      <c r="I6" s="2">
        <v>271.04000000000002</v>
      </c>
      <c r="J6" t="str">
        <f t="shared" si="0"/>
        <v>Apr-2024</v>
      </c>
    </row>
    <row r="7" spans="1:15" ht="16.5" customHeight="1" thickBot="1" x14ac:dyDescent="0.4">
      <c r="A7" s="1" t="s">
        <v>25</v>
      </c>
      <c r="B7" s="1" t="s">
        <v>26</v>
      </c>
      <c r="C7" s="1" t="s">
        <v>24</v>
      </c>
      <c r="D7" s="1" t="s">
        <v>27</v>
      </c>
      <c r="E7" s="2">
        <v>965.64</v>
      </c>
      <c r="F7" s="2">
        <v>8</v>
      </c>
      <c r="G7" s="2">
        <v>0.1</v>
      </c>
      <c r="H7" s="3">
        <v>45398</v>
      </c>
      <c r="I7" s="2">
        <v>304.18</v>
      </c>
      <c r="J7" t="str">
        <f t="shared" si="0"/>
        <v>Apr-2024</v>
      </c>
      <c r="M7" s="19" t="s">
        <v>77</v>
      </c>
      <c r="N7" t="s">
        <v>79</v>
      </c>
      <c r="O7" t="s">
        <v>80</v>
      </c>
    </row>
    <row r="8" spans="1:15" ht="16.5" customHeight="1" thickBot="1" x14ac:dyDescent="0.4">
      <c r="A8" s="1" t="s">
        <v>28</v>
      </c>
      <c r="B8" s="1" t="s">
        <v>29</v>
      </c>
      <c r="C8" s="1" t="s">
        <v>11</v>
      </c>
      <c r="D8" s="1" t="s">
        <v>21</v>
      </c>
      <c r="E8" s="2">
        <v>1317.53</v>
      </c>
      <c r="F8" s="2">
        <v>12</v>
      </c>
      <c r="G8" s="2">
        <v>0.05</v>
      </c>
      <c r="H8" s="3">
        <v>45398</v>
      </c>
      <c r="I8" s="2">
        <v>312.91000000000003</v>
      </c>
      <c r="J8" t="str">
        <f t="shared" si="0"/>
        <v>Apr-2024</v>
      </c>
      <c r="M8" s="22" t="s">
        <v>119</v>
      </c>
      <c r="N8" s="18">
        <v>19029.96</v>
      </c>
      <c r="O8" s="34"/>
    </row>
    <row r="9" spans="1:15" ht="16.5" customHeight="1" thickBot="1" x14ac:dyDescent="0.4">
      <c r="A9" s="1" t="s">
        <v>30</v>
      </c>
      <c r="B9" s="1" t="s">
        <v>31</v>
      </c>
      <c r="C9" s="1" t="s">
        <v>18</v>
      </c>
      <c r="D9" s="1" t="s">
        <v>27</v>
      </c>
      <c r="E9" s="2">
        <v>1074.47</v>
      </c>
      <c r="F9" s="2">
        <v>6</v>
      </c>
      <c r="G9" s="2">
        <v>0.2</v>
      </c>
      <c r="H9" s="3">
        <v>45401</v>
      </c>
      <c r="I9" s="2">
        <v>300.85000000000002</v>
      </c>
      <c r="J9" t="str">
        <f t="shared" si="0"/>
        <v>Apr-2024</v>
      </c>
      <c r="M9" s="22" t="s">
        <v>120</v>
      </c>
      <c r="N9" s="18">
        <v>3212.17</v>
      </c>
      <c r="O9" s="34">
        <f>(GETPIVOTDATA("Sales",M7,"Month","Apr-2024")-GETPIVOTDATA("Sales",M7,"Month","Apr-2025"))/GETPIVOTDATA("Sales",M7,"Month","Apr-2024")</f>
        <v>0.83120458477054071</v>
      </c>
    </row>
    <row r="10" spans="1:15" ht="16.5" customHeight="1" thickBot="1" x14ac:dyDescent="0.4">
      <c r="A10" s="1" t="s">
        <v>32</v>
      </c>
      <c r="B10" s="1" t="s">
        <v>33</v>
      </c>
      <c r="C10" s="1" t="s">
        <v>34</v>
      </c>
      <c r="D10" s="1" t="s">
        <v>12</v>
      </c>
      <c r="E10" s="2">
        <v>501.54</v>
      </c>
      <c r="F10" s="2">
        <v>11</v>
      </c>
      <c r="G10" s="2">
        <v>0.05</v>
      </c>
      <c r="H10" s="3">
        <v>45401</v>
      </c>
      <c r="I10" s="2">
        <v>190.59</v>
      </c>
      <c r="J10" t="str">
        <f t="shared" si="0"/>
        <v>Apr-2024</v>
      </c>
      <c r="M10" s="22" t="s">
        <v>121</v>
      </c>
      <c r="N10" s="18">
        <v>10091.699999999999</v>
      </c>
      <c r="O10" s="34">
        <f>(GETPIVOTDATA("Sales",M7,"Month","Aug-2024")-GETPIVOTDATA("Sales",M7,"Month","Apr-2025"))/GETPIVOTDATA("Sales",M7,"Month","Apr-2025")</f>
        <v>2.1417079419831451</v>
      </c>
    </row>
    <row r="11" spans="1:15" ht="16.5" customHeight="1" thickBot="1" x14ac:dyDescent="0.4">
      <c r="A11" s="1" t="s">
        <v>35</v>
      </c>
      <c r="B11" s="1" t="s">
        <v>36</v>
      </c>
      <c r="C11" s="1" t="s">
        <v>34</v>
      </c>
      <c r="D11" s="1" t="s">
        <v>15</v>
      </c>
      <c r="E11" s="2">
        <v>737.31</v>
      </c>
      <c r="F11" s="2">
        <v>2</v>
      </c>
      <c r="G11" s="2">
        <v>0.05</v>
      </c>
      <c r="H11" s="3">
        <v>45401</v>
      </c>
      <c r="I11" s="2">
        <v>350.22</v>
      </c>
      <c r="J11" t="str">
        <f t="shared" si="0"/>
        <v>Apr-2024</v>
      </c>
      <c r="M11" s="22" t="s">
        <v>122</v>
      </c>
      <c r="N11" s="18">
        <v>11120.04</v>
      </c>
      <c r="O11" s="34">
        <f>(GETPIVOTDATA("Sales",M7,"Month","Dec-2024")-GETPIVOTDATA("Sales",M7,"Month","Aug-2024"))/GETPIVOTDATA("Sales",M7,"Month","Aug-2024")</f>
        <v>0.10189958084366381</v>
      </c>
    </row>
    <row r="12" spans="1:15" ht="16.5" customHeight="1" thickBot="1" x14ac:dyDescent="0.4">
      <c r="A12" s="1" t="s">
        <v>37</v>
      </c>
      <c r="B12" s="1" t="s">
        <v>38</v>
      </c>
      <c r="C12" s="1" t="s">
        <v>11</v>
      </c>
      <c r="D12" s="1" t="s">
        <v>39</v>
      </c>
      <c r="E12" s="2">
        <v>1572.82</v>
      </c>
      <c r="F12" s="2">
        <v>6</v>
      </c>
      <c r="G12" s="2">
        <v>0.05</v>
      </c>
      <c r="H12" s="3">
        <v>45402</v>
      </c>
      <c r="I12" s="2">
        <v>672.38</v>
      </c>
      <c r="J12" t="str">
        <f>TEXT(H12,"mmm-yyyy")</f>
        <v>Apr-2024</v>
      </c>
      <c r="M12" s="22" t="s">
        <v>123</v>
      </c>
      <c r="N12" s="18">
        <v>14006.359999999999</v>
      </c>
      <c r="O12" s="34">
        <f>(GETPIVOTDATA("Sales",M7,"Month","Feb-2025")-GETPIVOTDATA("Sales",M7,"Month","Dec-2024"))/GETPIVOTDATA("Sales",M7,"Month","Dec-2024")</f>
        <v>0.2595602174092897</v>
      </c>
    </row>
    <row r="13" spans="1:15" ht="16.5" customHeight="1" thickBot="1" x14ac:dyDescent="0.4">
      <c r="A13" s="1" t="s">
        <v>37</v>
      </c>
      <c r="B13" s="1" t="s">
        <v>36</v>
      </c>
      <c r="C13" s="1" t="s">
        <v>34</v>
      </c>
      <c r="D13" s="1" t="s">
        <v>12</v>
      </c>
      <c r="E13" s="2">
        <v>1343.13</v>
      </c>
      <c r="F13" s="2">
        <v>14</v>
      </c>
      <c r="G13" s="2">
        <v>0.15</v>
      </c>
      <c r="H13" s="3">
        <v>45404</v>
      </c>
      <c r="I13" s="2">
        <v>456.66</v>
      </c>
      <c r="J13" t="str">
        <f t="shared" si="0"/>
        <v>Apr-2024</v>
      </c>
      <c r="M13" s="22" t="s">
        <v>124</v>
      </c>
      <c r="N13" s="18">
        <v>14914.650000000001</v>
      </c>
      <c r="O13" s="34">
        <f>(GETPIVOTDATA("Sales",M7,"Month","Jan-2025")-GETPIVOTDATA("Sales",M7,"Month","Feb-2025"))/GETPIVOTDATA("Sales",M7,"Month","Feb-2025")</f>
        <v>6.4848397442304986E-2</v>
      </c>
    </row>
    <row r="14" spans="1:15" ht="16.5" customHeight="1" thickBot="1" x14ac:dyDescent="0.4">
      <c r="A14" s="1" t="s">
        <v>25</v>
      </c>
      <c r="B14" s="1" t="s">
        <v>26</v>
      </c>
      <c r="C14" s="1" t="s">
        <v>34</v>
      </c>
      <c r="D14" s="1" t="s">
        <v>12</v>
      </c>
      <c r="E14" s="2">
        <v>1191.58</v>
      </c>
      <c r="F14" s="2">
        <v>14</v>
      </c>
      <c r="G14" s="2">
        <v>0.05</v>
      </c>
      <c r="H14" s="3">
        <v>45406</v>
      </c>
      <c r="I14" s="2">
        <v>452.8</v>
      </c>
      <c r="J14" t="str">
        <f t="shared" si="0"/>
        <v>Apr-2024</v>
      </c>
      <c r="M14" s="22" t="s">
        <v>125</v>
      </c>
      <c r="N14" s="18">
        <v>11609.039999999999</v>
      </c>
      <c r="O14" s="34">
        <f>(GETPIVOTDATA("Sales",M7,"Month","Jul-2024")-GETPIVOTDATA("Sales",M7,"Month","Jan-2025"))/GETPIVOTDATA("Sales",M7,"Month","Jan-2025")</f>
        <v>-0.22163510374028234</v>
      </c>
    </row>
    <row r="15" spans="1:15" ht="16.5" customHeight="1" thickBot="1" x14ac:dyDescent="0.4">
      <c r="A15" s="1" t="s">
        <v>40</v>
      </c>
      <c r="B15" s="1" t="s">
        <v>14</v>
      </c>
      <c r="C15" s="1" t="s">
        <v>11</v>
      </c>
      <c r="D15" s="1" t="s">
        <v>27</v>
      </c>
      <c r="E15" s="2">
        <v>822.28</v>
      </c>
      <c r="F15" s="2">
        <v>7</v>
      </c>
      <c r="G15" s="2">
        <v>0.05</v>
      </c>
      <c r="H15" s="3">
        <v>45406</v>
      </c>
      <c r="I15" s="2">
        <v>273.41000000000003</v>
      </c>
      <c r="J15" t="str">
        <f t="shared" si="0"/>
        <v>Apr-2024</v>
      </c>
      <c r="M15" s="22" t="s">
        <v>126</v>
      </c>
      <c r="N15" s="18">
        <v>20187.509999999998</v>
      </c>
      <c r="O15" s="34">
        <f>(GETPIVOTDATA("Sales",M7,"Month","Jun-2024")-GETPIVOTDATA("Sales",M7,"Month","Jul-2024"))/GETPIVOTDATA("Sales",M7,"Month","Jul-2024")</f>
        <v>0.73894740650389701</v>
      </c>
    </row>
    <row r="16" spans="1:15" ht="16.5" customHeight="1" thickBot="1" x14ac:dyDescent="0.4">
      <c r="A16" s="1" t="s">
        <v>41</v>
      </c>
      <c r="B16" s="1" t="s">
        <v>42</v>
      </c>
      <c r="C16" s="1" t="s">
        <v>24</v>
      </c>
      <c r="D16" s="1" t="s">
        <v>27</v>
      </c>
      <c r="E16" s="2">
        <v>521.66999999999996</v>
      </c>
      <c r="F16" s="2">
        <v>15</v>
      </c>
      <c r="G16" s="2">
        <v>0.15</v>
      </c>
      <c r="H16" s="3">
        <v>45409</v>
      </c>
      <c r="I16" s="2">
        <v>155.19999999999999</v>
      </c>
      <c r="J16" t="str">
        <f t="shared" si="0"/>
        <v>Apr-2024</v>
      </c>
      <c r="M16" s="22" t="s">
        <v>127</v>
      </c>
      <c r="N16" s="18">
        <v>17655.219999999998</v>
      </c>
      <c r="O16" s="34">
        <f>(GETPIVOTDATA("Sales",M7,"Month","Mar-2025")-GETPIVOTDATA("Sales",M7,"Month","Jun-2024"))/GETPIVOTDATA("Sales",M7,"Month","Jun-2024")</f>
        <v>-0.12543845179519422</v>
      </c>
    </row>
    <row r="17" spans="1:15" ht="16.5" customHeight="1" thickBot="1" x14ac:dyDescent="0.4">
      <c r="A17" s="1" t="s">
        <v>19</v>
      </c>
      <c r="B17" s="1" t="s">
        <v>43</v>
      </c>
      <c r="C17" s="1" t="s">
        <v>20</v>
      </c>
      <c r="D17" s="1" t="s">
        <v>21</v>
      </c>
      <c r="E17" s="2">
        <v>1502.93</v>
      </c>
      <c r="F17" s="2">
        <v>14</v>
      </c>
      <c r="G17" s="2">
        <v>0.2</v>
      </c>
      <c r="H17" s="3">
        <v>45410</v>
      </c>
      <c r="I17" s="2">
        <v>300.58999999999997</v>
      </c>
      <c r="J17" t="str">
        <f t="shared" si="0"/>
        <v>Apr-2024</v>
      </c>
      <c r="M17" s="22" t="s">
        <v>128</v>
      </c>
      <c r="N17" s="18">
        <v>18507.339999999997</v>
      </c>
      <c r="O17" s="34">
        <f>(GETPIVOTDATA("Sales",M7,"Month","May-2024")-GETPIVOTDATA("Sales",M7,"Month","Mar-2025"))/GETPIVOTDATA("Sales",M7,"Month","Mar-2025")</f>
        <v>4.8264479287145619E-2</v>
      </c>
    </row>
    <row r="18" spans="1:15" ht="16.5" customHeight="1" thickBot="1" x14ac:dyDescent="0.4">
      <c r="A18" s="1" t="s">
        <v>44</v>
      </c>
      <c r="B18" s="1" t="s">
        <v>14</v>
      </c>
      <c r="C18" s="1" t="s">
        <v>20</v>
      </c>
      <c r="D18" s="1" t="s">
        <v>12</v>
      </c>
      <c r="E18" s="2">
        <v>877.58</v>
      </c>
      <c r="F18" s="2">
        <v>10</v>
      </c>
      <c r="G18" s="2">
        <v>0.15</v>
      </c>
      <c r="H18" s="3">
        <v>45411</v>
      </c>
      <c r="I18" s="2">
        <v>298.38</v>
      </c>
      <c r="J18" t="str">
        <f t="shared" si="0"/>
        <v>Apr-2024</v>
      </c>
      <c r="M18" s="22" t="s">
        <v>129</v>
      </c>
      <c r="N18" s="18">
        <v>20135.030000000002</v>
      </c>
      <c r="O18" s="34">
        <f>(GETPIVOTDATA("Sales",M7,"Month","Nov-2024")-GETPIVOTDATA("Sales",M7,"Month","May-2024"))/GETPIVOTDATA("Sales",M7,"Month","May-2024")</f>
        <v>8.7948349141476104E-2</v>
      </c>
    </row>
    <row r="19" spans="1:15" ht="16.5" customHeight="1" thickBot="1" x14ac:dyDescent="0.4">
      <c r="A19" s="1" t="s">
        <v>28</v>
      </c>
      <c r="B19" s="1" t="s">
        <v>45</v>
      </c>
      <c r="C19" s="1" t="s">
        <v>11</v>
      </c>
      <c r="D19" s="1" t="s">
        <v>12</v>
      </c>
      <c r="E19" s="2">
        <v>636.70000000000005</v>
      </c>
      <c r="F19" s="2">
        <v>4</v>
      </c>
      <c r="G19" s="2">
        <v>0.2</v>
      </c>
      <c r="H19" s="3">
        <v>45411</v>
      </c>
      <c r="I19" s="2">
        <v>203.74</v>
      </c>
      <c r="J19" t="str">
        <f t="shared" si="0"/>
        <v>Apr-2024</v>
      </c>
      <c r="M19" s="22" t="s">
        <v>130</v>
      </c>
      <c r="N19" s="18">
        <v>14215.240000000002</v>
      </c>
      <c r="O19" s="34">
        <f>(GETPIVOTDATA("Sales",M7,"Month","Oct-2024")-GETPIVOTDATA("Sales",M7,"Month","Nov-2024"))/GETPIVOTDATA("Sales",M7,"Month","Nov-2024")</f>
        <v>-0.29400452842632963</v>
      </c>
    </row>
    <row r="20" spans="1:15" ht="16.5" customHeight="1" thickBot="1" x14ac:dyDescent="0.4">
      <c r="A20" s="1" t="s">
        <v>46</v>
      </c>
      <c r="B20" s="1" t="s">
        <v>47</v>
      </c>
      <c r="C20" s="1" t="s">
        <v>11</v>
      </c>
      <c r="D20" s="1" t="s">
        <v>12</v>
      </c>
      <c r="E20" s="2">
        <v>1506.14</v>
      </c>
      <c r="F20" s="2">
        <v>13</v>
      </c>
      <c r="G20" s="2">
        <v>0.2</v>
      </c>
      <c r="H20" s="3">
        <v>45412</v>
      </c>
      <c r="I20" s="2">
        <v>481.96</v>
      </c>
      <c r="J20" t="str">
        <f t="shared" si="0"/>
        <v>Apr-2024</v>
      </c>
      <c r="M20" s="22" t="s">
        <v>131</v>
      </c>
      <c r="N20" s="18">
        <v>20533.499999999996</v>
      </c>
      <c r="O20" s="34">
        <f>(GETPIVOTDATA("Sales",M7,"Month","Sep-2024")-GETPIVOTDATA("Sales",M7,"Month","Oct-2024"))/GETPIVOTDATA("Sales",M7,"Month","Oct-2024")</f>
        <v>0.44447086366462996</v>
      </c>
    </row>
    <row r="21" spans="1:15" ht="16.5" customHeight="1" thickBot="1" x14ac:dyDescent="0.4">
      <c r="A21" s="1" t="s">
        <v>30</v>
      </c>
      <c r="B21" s="1" t="s">
        <v>31</v>
      </c>
      <c r="C21" s="1" t="s">
        <v>34</v>
      </c>
      <c r="D21" s="1" t="s">
        <v>21</v>
      </c>
      <c r="E21" s="2">
        <v>645.02</v>
      </c>
      <c r="F21" s="2">
        <v>4</v>
      </c>
      <c r="G21" s="2">
        <v>0</v>
      </c>
      <c r="H21" s="3">
        <v>45414</v>
      </c>
      <c r="I21" s="2">
        <v>161.26</v>
      </c>
      <c r="J21" t="str">
        <f t="shared" si="0"/>
        <v>May-2024</v>
      </c>
      <c r="M21" s="22" t="s">
        <v>78</v>
      </c>
      <c r="N21" s="18">
        <v>195217.75999999998</v>
      </c>
      <c r="O21" s="34"/>
    </row>
    <row r="22" spans="1:15" ht="16.5" customHeight="1" thickBot="1" x14ac:dyDescent="0.4">
      <c r="A22" s="1" t="s">
        <v>25</v>
      </c>
      <c r="B22" s="1" t="s">
        <v>48</v>
      </c>
      <c r="C22" s="1" t="s">
        <v>20</v>
      </c>
      <c r="D22" s="1" t="s">
        <v>15</v>
      </c>
      <c r="E22" s="2">
        <v>953.3</v>
      </c>
      <c r="F22" s="2">
        <v>11</v>
      </c>
      <c r="G22" s="2">
        <v>0</v>
      </c>
      <c r="H22" s="3">
        <v>45415</v>
      </c>
      <c r="I22" s="2">
        <v>476.65</v>
      </c>
      <c r="J22" t="str">
        <f t="shared" si="0"/>
        <v>May-2024</v>
      </c>
    </row>
    <row r="23" spans="1:15" ht="16.5" customHeight="1" thickBot="1" x14ac:dyDescent="0.4">
      <c r="A23" s="1" t="s">
        <v>49</v>
      </c>
      <c r="B23" s="1" t="s">
        <v>14</v>
      </c>
      <c r="C23" s="1" t="s">
        <v>24</v>
      </c>
      <c r="D23" s="1" t="s">
        <v>21</v>
      </c>
      <c r="E23" s="2">
        <v>388.56</v>
      </c>
      <c r="F23" s="2">
        <v>14</v>
      </c>
      <c r="G23" s="2">
        <v>0.15</v>
      </c>
      <c r="H23" s="3">
        <v>45416</v>
      </c>
      <c r="I23" s="2">
        <v>82.57</v>
      </c>
      <c r="J23" t="str">
        <f t="shared" si="0"/>
        <v>May-2024</v>
      </c>
    </row>
    <row r="24" spans="1:15" ht="16.5" customHeight="1" thickBot="1" x14ac:dyDescent="0.4">
      <c r="A24" s="1" t="s">
        <v>9</v>
      </c>
      <c r="B24" s="1" t="s">
        <v>31</v>
      </c>
      <c r="C24" s="1" t="s">
        <v>11</v>
      </c>
      <c r="D24" s="1" t="s">
        <v>12</v>
      </c>
      <c r="E24" s="2">
        <v>743.17</v>
      </c>
      <c r="F24" s="2">
        <v>9</v>
      </c>
      <c r="G24" s="2">
        <v>0</v>
      </c>
      <c r="H24" s="3">
        <v>45416</v>
      </c>
      <c r="I24" s="2">
        <v>297.27</v>
      </c>
      <c r="J24" t="str">
        <f t="shared" si="0"/>
        <v>May-2024</v>
      </c>
    </row>
    <row r="25" spans="1:15" ht="16.5" customHeight="1" thickBot="1" x14ac:dyDescent="0.4">
      <c r="A25" s="1" t="s">
        <v>40</v>
      </c>
      <c r="B25" s="1" t="s">
        <v>31</v>
      </c>
      <c r="C25" s="1" t="s">
        <v>34</v>
      </c>
      <c r="D25" s="1" t="s">
        <v>21</v>
      </c>
      <c r="E25" s="2">
        <v>706.37</v>
      </c>
      <c r="F25" s="2">
        <v>6</v>
      </c>
      <c r="G25" s="2">
        <v>0</v>
      </c>
      <c r="H25" s="3">
        <v>45416</v>
      </c>
      <c r="I25" s="2">
        <v>176.59</v>
      </c>
      <c r="J25" t="str">
        <f t="shared" si="0"/>
        <v>May-2024</v>
      </c>
    </row>
    <row r="26" spans="1:15" ht="16.5" customHeight="1" thickBot="1" x14ac:dyDescent="0.4">
      <c r="A26" s="1" t="s">
        <v>13</v>
      </c>
      <c r="B26" s="1" t="s">
        <v>31</v>
      </c>
      <c r="C26" s="1" t="s">
        <v>34</v>
      </c>
      <c r="D26" s="1" t="s">
        <v>39</v>
      </c>
      <c r="E26" s="2">
        <v>925.31</v>
      </c>
      <c r="F26" s="2">
        <v>8</v>
      </c>
      <c r="G26" s="2">
        <v>0.1</v>
      </c>
      <c r="H26" s="3">
        <v>45418</v>
      </c>
      <c r="I26" s="2">
        <v>374.75</v>
      </c>
      <c r="J26" t="str">
        <f t="shared" si="0"/>
        <v>May-2024</v>
      </c>
    </row>
    <row r="27" spans="1:15" ht="16.5" customHeight="1" thickBot="1" x14ac:dyDescent="0.4">
      <c r="A27" s="1" t="s">
        <v>35</v>
      </c>
      <c r="B27" s="1" t="s">
        <v>50</v>
      </c>
      <c r="C27" s="1" t="s">
        <v>20</v>
      </c>
      <c r="D27" s="1" t="s">
        <v>21</v>
      </c>
      <c r="E27" s="2">
        <v>1173.1199999999999</v>
      </c>
      <c r="F27" s="2">
        <v>18</v>
      </c>
      <c r="G27" s="2">
        <v>0</v>
      </c>
      <c r="H27" s="3">
        <v>45418</v>
      </c>
      <c r="I27" s="2">
        <v>293.27999999999997</v>
      </c>
      <c r="J27" t="str">
        <f t="shared" si="0"/>
        <v>May-2024</v>
      </c>
    </row>
    <row r="28" spans="1:15" ht="16.5" customHeight="1" thickBot="1" x14ac:dyDescent="0.4">
      <c r="A28" s="1" t="s">
        <v>22</v>
      </c>
      <c r="B28" s="1" t="s">
        <v>51</v>
      </c>
      <c r="C28" s="1" t="s">
        <v>24</v>
      </c>
      <c r="D28" s="1" t="s">
        <v>27</v>
      </c>
      <c r="E28" s="2">
        <v>675.54</v>
      </c>
      <c r="F28" s="2">
        <v>17</v>
      </c>
      <c r="G28" s="2">
        <v>0</v>
      </c>
      <c r="H28" s="3">
        <v>45420</v>
      </c>
      <c r="I28" s="2">
        <v>236.44</v>
      </c>
      <c r="J28" t="str">
        <f t="shared" si="0"/>
        <v>May-2024</v>
      </c>
    </row>
    <row r="29" spans="1:15" ht="16.5" customHeight="1" thickBot="1" x14ac:dyDescent="0.4">
      <c r="A29" s="1" t="s">
        <v>25</v>
      </c>
      <c r="B29" s="1" t="s">
        <v>14</v>
      </c>
      <c r="C29" s="1" t="s">
        <v>34</v>
      </c>
      <c r="D29" s="1" t="s">
        <v>12</v>
      </c>
      <c r="E29" s="2">
        <v>939.09</v>
      </c>
      <c r="F29" s="2">
        <v>2</v>
      </c>
      <c r="G29" s="2">
        <v>0.05</v>
      </c>
      <c r="H29" s="3">
        <v>45422</v>
      </c>
      <c r="I29" s="2">
        <v>356.85</v>
      </c>
      <c r="J29" t="str">
        <f t="shared" si="0"/>
        <v>May-2024</v>
      </c>
    </row>
    <row r="30" spans="1:15" ht="16.5" customHeight="1" thickBot="1" x14ac:dyDescent="0.4">
      <c r="A30" s="1" t="s">
        <v>52</v>
      </c>
      <c r="B30" s="1" t="s">
        <v>53</v>
      </c>
      <c r="C30" s="1" t="s">
        <v>18</v>
      </c>
      <c r="D30" s="1" t="s">
        <v>39</v>
      </c>
      <c r="E30" s="2">
        <v>983.34</v>
      </c>
      <c r="F30" s="2">
        <v>19</v>
      </c>
      <c r="G30" s="2">
        <v>0.1</v>
      </c>
      <c r="H30" s="3">
        <v>45426</v>
      </c>
      <c r="I30" s="2">
        <v>398.25</v>
      </c>
      <c r="J30" t="str">
        <f t="shared" si="0"/>
        <v>May-2024</v>
      </c>
    </row>
    <row r="31" spans="1:15" ht="16.5" customHeight="1" thickBot="1" x14ac:dyDescent="0.4">
      <c r="A31" s="1" t="s">
        <v>52</v>
      </c>
      <c r="B31" s="1" t="s">
        <v>23</v>
      </c>
      <c r="C31" s="1" t="s">
        <v>20</v>
      </c>
      <c r="D31" s="1" t="s">
        <v>21</v>
      </c>
      <c r="E31" s="2">
        <v>801.21</v>
      </c>
      <c r="F31" s="2">
        <v>3</v>
      </c>
      <c r="G31" s="2">
        <v>0.2</v>
      </c>
      <c r="H31" s="3">
        <v>45426</v>
      </c>
      <c r="I31" s="2">
        <v>160.24</v>
      </c>
      <c r="J31" t="str">
        <f t="shared" si="0"/>
        <v>May-2024</v>
      </c>
    </row>
    <row r="32" spans="1:15" ht="16.5" customHeight="1" thickBot="1" x14ac:dyDescent="0.4">
      <c r="A32" s="1" t="s">
        <v>54</v>
      </c>
      <c r="B32" s="1" t="s">
        <v>55</v>
      </c>
      <c r="C32" s="1" t="s">
        <v>24</v>
      </c>
      <c r="D32" s="1" t="s">
        <v>21</v>
      </c>
      <c r="E32" s="2">
        <v>1450.71</v>
      </c>
      <c r="F32" s="2">
        <v>5</v>
      </c>
      <c r="G32" s="2">
        <v>0.1</v>
      </c>
      <c r="H32" s="3">
        <v>45427</v>
      </c>
      <c r="I32" s="2">
        <v>326.41000000000003</v>
      </c>
      <c r="J32" t="str">
        <f t="shared" si="0"/>
        <v>May-2024</v>
      </c>
    </row>
    <row r="33" spans="1:10" ht="16.5" customHeight="1" thickBot="1" x14ac:dyDescent="0.4">
      <c r="A33" s="1" t="s">
        <v>49</v>
      </c>
      <c r="B33" s="1" t="s">
        <v>56</v>
      </c>
      <c r="C33" s="1" t="s">
        <v>34</v>
      </c>
      <c r="D33" s="1" t="s">
        <v>12</v>
      </c>
      <c r="E33" s="2">
        <v>1023.21</v>
      </c>
      <c r="F33" s="2">
        <v>18</v>
      </c>
      <c r="G33" s="2">
        <v>0.05</v>
      </c>
      <c r="H33" s="3">
        <v>45428</v>
      </c>
      <c r="I33" s="2">
        <v>388.82</v>
      </c>
      <c r="J33" t="str">
        <f t="shared" si="0"/>
        <v>May-2024</v>
      </c>
    </row>
    <row r="34" spans="1:10" ht="16.5" customHeight="1" thickBot="1" x14ac:dyDescent="0.4">
      <c r="A34" s="1" t="s">
        <v>28</v>
      </c>
      <c r="B34" s="1" t="s">
        <v>47</v>
      </c>
      <c r="C34" s="1" t="s">
        <v>11</v>
      </c>
      <c r="D34" s="1" t="s">
        <v>27</v>
      </c>
      <c r="E34" s="2">
        <v>853.72</v>
      </c>
      <c r="F34" s="2">
        <v>5</v>
      </c>
      <c r="G34" s="2">
        <v>0.15</v>
      </c>
      <c r="H34" s="3">
        <v>45428</v>
      </c>
      <c r="I34" s="2">
        <v>253.98</v>
      </c>
      <c r="J34" t="str">
        <f t="shared" si="0"/>
        <v>May-2024</v>
      </c>
    </row>
    <row r="35" spans="1:10" ht="16.5" customHeight="1" thickBot="1" x14ac:dyDescent="0.4">
      <c r="A35" s="1" t="s">
        <v>57</v>
      </c>
      <c r="B35" s="1" t="s">
        <v>43</v>
      </c>
      <c r="C35" s="1" t="s">
        <v>20</v>
      </c>
      <c r="D35" s="1" t="s">
        <v>21</v>
      </c>
      <c r="E35" s="2">
        <v>967.89</v>
      </c>
      <c r="F35" s="2">
        <v>10</v>
      </c>
      <c r="G35" s="2">
        <v>0.1</v>
      </c>
      <c r="H35" s="3">
        <v>45429</v>
      </c>
      <c r="I35" s="2">
        <v>217.78</v>
      </c>
      <c r="J35" t="str">
        <f t="shared" si="0"/>
        <v>May-2024</v>
      </c>
    </row>
    <row r="36" spans="1:10" ht="16.5" customHeight="1" thickBot="1" x14ac:dyDescent="0.4">
      <c r="A36" s="1" t="s">
        <v>58</v>
      </c>
      <c r="B36" s="1" t="s">
        <v>53</v>
      </c>
      <c r="C36" s="1" t="s">
        <v>24</v>
      </c>
      <c r="D36" s="1" t="s">
        <v>39</v>
      </c>
      <c r="E36" s="2">
        <v>1200.9000000000001</v>
      </c>
      <c r="F36" s="2">
        <v>14</v>
      </c>
      <c r="G36" s="2">
        <v>0.05</v>
      </c>
      <c r="H36" s="3">
        <v>45429</v>
      </c>
      <c r="I36" s="2">
        <v>513.38</v>
      </c>
      <c r="J36" t="str">
        <f t="shared" si="0"/>
        <v>May-2024</v>
      </c>
    </row>
    <row r="37" spans="1:10" ht="16.5" customHeight="1" thickBot="1" x14ac:dyDescent="0.4">
      <c r="A37" s="1" t="s">
        <v>13</v>
      </c>
      <c r="B37" s="1" t="s">
        <v>26</v>
      </c>
      <c r="C37" s="1" t="s">
        <v>11</v>
      </c>
      <c r="D37" s="1" t="s">
        <v>12</v>
      </c>
      <c r="E37" s="2">
        <v>472.38</v>
      </c>
      <c r="F37" s="2">
        <v>12</v>
      </c>
      <c r="G37" s="2">
        <v>0.2</v>
      </c>
      <c r="H37" s="3">
        <v>45429</v>
      </c>
      <c r="I37" s="2">
        <v>151.16</v>
      </c>
      <c r="J37" t="str">
        <f t="shared" si="0"/>
        <v>May-2024</v>
      </c>
    </row>
    <row r="38" spans="1:10" ht="16.5" customHeight="1" thickBot="1" x14ac:dyDescent="0.4">
      <c r="A38" s="1" t="s">
        <v>9</v>
      </c>
      <c r="B38" s="1" t="s">
        <v>55</v>
      </c>
      <c r="C38" s="1" t="s">
        <v>18</v>
      </c>
      <c r="D38" s="1" t="s">
        <v>39</v>
      </c>
      <c r="E38" s="2">
        <v>840.92</v>
      </c>
      <c r="F38" s="2">
        <v>9</v>
      </c>
      <c r="G38" s="2">
        <v>0.05</v>
      </c>
      <c r="H38" s="3">
        <v>45429</v>
      </c>
      <c r="I38" s="2">
        <v>359.49</v>
      </c>
      <c r="J38" t="str">
        <f t="shared" si="0"/>
        <v>May-2024</v>
      </c>
    </row>
    <row r="39" spans="1:10" ht="16.5" customHeight="1" thickBot="1" x14ac:dyDescent="0.4">
      <c r="A39" s="1" t="s">
        <v>52</v>
      </c>
      <c r="B39" s="1" t="s">
        <v>48</v>
      </c>
      <c r="C39" s="1" t="s">
        <v>34</v>
      </c>
      <c r="D39" s="1" t="s">
        <v>27</v>
      </c>
      <c r="E39" s="2">
        <v>1410.06</v>
      </c>
      <c r="F39" s="2">
        <v>11</v>
      </c>
      <c r="G39" s="2">
        <v>0.05</v>
      </c>
      <c r="H39" s="3">
        <v>45434</v>
      </c>
      <c r="I39" s="2">
        <v>468.84</v>
      </c>
      <c r="J39" t="str">
        <f t="shared" si="0"/>
        <v>May-2024</v>
      </c>
    </row>
    <row r="40" spans="1:10" ht="16.5" customHeight="1" thickBot="1" x14ac:dyDescent="0.4">
      <c r="A40" s="1" t="s">
        <v>44</v>
      </c>
      <c r="B40" s="1" t="s">
        <v>59</v>
      </c>
      <c r="C40" s="1" t="s">
        <v>34</v>
      </c>
      <c r="D40" s="1" t="s">
        <v>27</v>
      </c>
      <c r="E40" s="2">
        <v>773.09</v>
      </c>
      <c r="F40" s="2">
        <v>13</v>
      </c>
      <c r="G40" s="2">
        <v>0.15</v>
      </c>
      <c r="H40" s="3">
        <v>45434</v>
      </c>
      <c r="I40" s="2">
        <v>229.99</v>
      </c>
      <c r="J40" t="str">
        <f t="shared" si="0"/>
        <v>May-2024</v>
      </c>
    </row>
    <row r="41" spans="1:10" ht="16.5" customHeight="1" thickBot="1" x14ac:dyDescent="0.4">
      <c r="A41" s="1" t="s">
        <v>60</v>
      </c>
      <c r="B41" s="1" t="s">
        <v>61</v>
      </c>
      <c r="C41" s="1" t="s">
        <v>18</v>
      </c>
      <c r="D41" s="1" t="s">
        <v>12</v>
      </c>
      <c r="E41" s="2">
        <v>580.42999999999995</v>
      </c>
      <c r="F41" s="2">
        <v>19</v>
      </c>
      <c r="G41" s="2">
        <v>0.15</v>
      </c>
      <c r="H41" s="3">
        <v>45435</v>
      </c>
      <c r="I41" s="2">
        <v>197.35</v>
      </c>
      <c r="J41" t="str">
        <f t="shared" si="0"/>
        <v>May-2024</v>
      </c>
    </row>
    <row r="42" spans="1:10" ht="16.5" customHeight="1" thickBot="1" x14ac:dyDescent="0.4">
      <c r="A42" s="1" t="s">
        <v>19</v>
      </c>
      <c r="B42" s="1" t="s">
        <v>42</v>
      </c>
      <c r="C42" s="1" t="s">
        <v>20</v>
      </c>
      <c r="D42" s="1" t="s">
        <v>12</v>
      </c>
      <c r="E42" s="2">
        <v>1151.21</v>
      </c>
      <c r="F42" s="2">
        <v>15</v>
      </c>
      <c r="G42" s="2">
        <v>0.1</v>
      </c>
      <c r="H42" s="3">
        <v>45445</v>
      </c>
      <c r="I42" s="2">
        <v>414.44</v>
      </c>
      <c r="J42" t="str">
        <f t="shared" si="0"/>
        <v>Jun-2024</v>
      </c>
    </row>
    <row r="43" spans="1:10" ht="16.5" customHeight="1" thickBot="1" x14ac:dyDescent="0.4">
      <c r="A43" s="1" t="s">
        <v>52</v>
      </c>
      <c r="B43" s="1" t="s">
        <v>23</v>
      </c>
      <c r="C43" s="1" t="s">
        <v>34</v>
      </c>
      <c r="D43" s="1" t="s">
        <v>39</v>
      </c>
      <c r="E43" s="2">
        <v>1025.98</v>
      </c>
      <c r="F43" s="2">
        <v>5</v>
      </c>
      <c r="G43" s="2">
        <v>0.2</v>
      </c>
      <c r="H43" s="3">
        <v>45447</v>
      </c>
      <c r="I43" s="2">
        <v>369.35</v>
      </c>
      <c r="J43" t="str">
        <f t="shared" si="0"/>
        <v>Jun-2024</v>
      </c>
    </row>
    <row r="44" spans="1:10" ht="16.5" customHeight="1" thickBot="1" x14ac:dyDescent="0.4">
      <c r="A44" s="1" t="s">
        <v>40</v>
      </c>
      <c r="B44" s="1" t="s">
        <v>56</v>
      </c>
      <c r="C44" s="1" t="s">
        <v>18</v>
      </c>
      <c r="D44" s="1" t="s">
        <v>39</v>
      </c>
      <c r="E44" s="2">
        <v>556.41999999999996</v>
      </c>
      <c r="F44" s="2">
        <v>11</v>
      </c>
      <c r="G44" s="2">
        <v>0.15</v>
      </c>
      <c r="H44" s="3">
        <v>45447</v>
      </c>
      <c r="I44" s="2">
        <v>212.83</v>
      </c>
      <c r="J44" t="str">
        <f t="shared" si="0"/>
        <v>Jun-2024</v>
      </c>
    </row>
    <row r="45" spans="1:10" ht="16.5" customHeight="1" thickBot="1" x14ac:dyDescent="0.4">
      <c r="A45" s="1" t="s">
        <v>57</v>
      </c>
      <c r="B45" s="1" t="s">
        <v>23</v>
      </c>
      <c r="C45" s="1" t="s">
        <v>34</v>
      </c>
      <c r="D45" s="1" t="s">
        <v>12</v>
      </c>
      <c r="E45" s="2">
        <v>840.85</v>
      </c>
      <c r="F45" s="2">
        <v>19</v>
      </c>
      <c r="G45" s="2">
        <v>0.1</v>
      </c>
      <c r="H45" s="3">
        <v>45448</v>
      </c>
      <c r="I45" s="2">
        <v>302.70999999999998</v>
      </c>
      <c r="J45" t="str">
        <f t="shared" si="0"/>
        <v>Jun-2024</v>
      </c>
    </row>
    <row r="46" spans="1:10" ht="16.5" customHeight="1" thickBot="1" x14ac:dyDescent="0.4">
      <c r="A46" s="1" t="s">
        <v>30</v>
      </c>
      <c r="B46" s="1" t="s">
        <v>61</v>
      </c>
      <c r="C46" s="1" t="s">
        <v>24</v>
      </c>
      <c r="D46" s="1" t="s">
        <v>27</v>
      </c>
      <c r="E46" s="2">
        <v>1227.25</v>
      </c>
      <c r="F46" s="2">
        <v>12</v>
      </c>
      <c r="G46" s="2">
        <v>0.15</v>
      </c>
      <c r="H46" s="3">
        <v>45448</v>
      </c>
      <c r="I46" s="2">
        <v>365.11</v>
      </c>
      <c r="J46" t="str">
        <f t="shared" si="0"/>
        <v>Jun-2024</v>
      </c>
    </row>
    <row r="47" spans="1:10" ht="16.5" customHeight="1" thickBot="1" x14ac:dyDescent="0.4">
      <c r="A47" s="1" t="s">
        <v>16</v>
      </c>
      <c r="B47" s="1" t="s">
        <v>62</v>
      </c>
      <c r="C47" s="1" t="s">
        <v>34</v>
      </c>
      <c r="D47" s="1" t="s">
        <v>21</v>
      </c>
      <c r="E47" s="2">
        <v>856.7</v>
      </c>
      <c r="F47" s="2">
        <v>2</v>
      </c>
      <c r="G47" s="2">
        <v>0</v>
      </c>
      <c r="H47" s="3">
        <v>45449</v>
      </c>
      <c r="I47" s="2">
        <v>214.18</v>
      </c>
      <c r="J47" t="str">
        <f t="shared" si="0"/>
        <v>Jun-2024</v>
      </c>
    </row>
    <row r="48" spans="1:10" ht="16.5" customHeight="1" thickBot="1" x14ac:dyDescent="0.4">
      <c r="A48" s="1" t="s">
        <v>54</v>
      </c>
      <c r="B48" s="1" t="s">
        <v>56</v>
      </c>
      <c r="C48" s="1" t="s">
        <v>34</v>
      </c>
      <c r="D48" s="1" t="s">
        <v>39</v>
      </c>
      <c r="E48" s="2">
        <v>1225.42</v>
      </c>
      <c r="F48" s="2">
        <v>8</v>
      </c>
      <c r="G48" s="2">
        <v>0.15</v>
      </c>
      <c r="H48" s="3">
        <v>45449</v>
      </c>
      <c r="I48" s="2">
        <v>468.72</v>
      </c>
      <c r="J48" t="str">
        <f t="shared" si="0"/>
        <v>Jun-2024</v>
      </c>
    </row>
    <row r="49" spans="1:10" ht="16.5" customHeight="1" thickBot="1" x14ac:dyDescent="0.4">
      <c r="A49" s="1" t="s">
        <v>63</v>
      </c>
      <c r="B49" s="1" t="s">
        <v>31</v>
      </c>
      <c r="C49" s="1" t="s">
        <v>24</v>
      </c>
      <c r="D49" s="1" t="s">
        <v>39</v>
      </c>
      <c r="E49" s="2">
        <v>1001.57</v>
      </c>
      <c r="F49" s="2">
        <v>12</v>
      </c>
      <c r="G49" s="2">
        <v>0</v>
      </c>
      <c r="H49" s="3">
        <v>45450</v>
      </c>
      <c r="I49" s="2">
        <v>450.71</v>
      </c>
      <c r="J49" t="str">
        <f t="shared" si="0"/>
        <v>Jun-2024</v>
      </c>
    </row>
    <row r="50" spans="1:10" ht="16.5" customHeight="1" thickBot="1" x14ac:dyDescent="0.4">
      <c r="A50" s="1" t="s">
        <v>57</v>
      </c>
      <c r="B50" s="1" t="s">
        <v>26</v>
      </c>
      <c r="C50" s="1" t="s">
        <v>18</v>
      </c>
      <c r="D50" s="1" t="s">
        <v>27</v>
      </c>
      <c r="E50" s="2">
        <v>1186.8499999999999</v>
      </c>
      <c r="F50" s="2">
        <v>19</v>
      </c>
      <c r="G50" s="2">
        <v>0.2</v>
      </c>
      <c r="H50" s="3">
        <v>45451</v>
      </c>
      <c r="I50" s="2">
        <v>332.32</v>
      </c>
      <c r="J50" t="str">
        <f t="shared" si="0"/>
        <v>Jun-2024</v>
      </c>
    </row>
    <row r="51" spans="1:10" ht="16.5" customHeight="1" thickBot="1" x14ac:dyDescent="0.4">
      <c r="A51" s="1" t="s">
        <v>44</v>
      </c>
      <c r="B51" s="1" t="s">
        <v>51</v>
      </c>
      <c r="C51" s="1" t="s">
        <v>20</v>
      </c>
      <c r="D51" s="1" t="s">
        <v>21</v>
      </c>
      <c r="E51" s="2">
        <v>775.45</v>
      </c>
      <c r="F51" s="2">
        <v>6</v>
      </c>
      <c r="G51" s="2">
        <v>0.1</v>
      </c>
      <c r="H51" s="3">
        <v>45457</v>
      </c>
      <c r="I51" s="2">
        <v>174.48</v>
      </c>
      <c r="J51" t="str">
        <f t="shared" si="0"/>
        <v>Jun-2024</v>
      </c>
    </row>
    <row r="52" spans="1:10" ht="16.5" customHeight="1" thickBot="1" x14ac:dyDescent="0.4">
      <c r="A52" s="1" t="s">
        <v>25</v>
      </c>
      <c r="B52" s="1" t="s">
        <v>33</v>
      </c>
      <c r="C52" s="1" t="s">
        <v>20</v>
      </c>
      <c r="D52" s="1" t="s">
        <v>21</v>
      </c>
      <c r="E52" s="2">
        <v>1021.47</v>
      </c>
      <c r="F52" s="2">
        <v>6</v>
      </c>
      <c r="G52" s="2">
        <v>0.05</v>
      </c>
      <c r="H52" s="3">
        <v>45461</v>
      </c>
      <c r="I52" s="2">
        <v>242.6</v>
      </c>
      <c r="J52" t="str">
        <f t="shared" si="0"/>
        <v>Jun-2024</v>
      </c>
    </row>
    <row r="53" spans="1:10" ht="16.5" customHeight="1" thickBot="1" x14ac:dyDescent="0.4">
      <c r="A53" s="1" t="s">
        <v>58</v>
      </c>
      <c r="B53" s="1" t="s">
        <v>23</v>
      </c>
      <c r="C53" s="1" t="s">
        <v>20</v>
      </c>
      <c r="D53" s="1" t="s">
        <v>15</v>
      </c>
      <c r="E53" s="2">
        <v>1226.6199999999999</v>
      </c>
      <c r="F53" s="2">
        <v>7</v>
      </c>
      <c r="G53" s="2">
        <v>0.1</v>
      </c>
      <c r="H53" s="3">
        <v>45463</v>
      </c>
      <c r="I53" s="2">
        <v>551.98</v>
      </c>
      <c r="J53" t="str">
        <f t="shared" si="0"/>
        <v>Jun-2024</v>
      </c>
    </row>
    <row r="54" spans="1:10" ht="16.5" customHeight="1" thickBot="1" x14ac:dyDescent="0.4">
      <c r="A54" s="1" t="s">
        <v>22</v>
      </c>
      <c r="B54" s="1" t="s">
        <v>64</v>
      </c>
      <c r="C54" s="1" t="s">
        <v>20</v>
      </c>
      <c r="D54" s="1" t="s">
        <v>27</v>
      </c>
      <c r="E54" s="2">
        <v>1086.93</v>
      </c>
      <c r="F54" s="2">
        <v>2</v>
      </c>
      <c r="G54" s="2">
        <v>0</v>
      </c>
      <c r="H54" s="3">
        <v>45464</v>
      </c>
      <c r="I54" s="2">
        <v>380.43</v>
      </c>
      <c r="J54" t="str">
        <f t="shared" si="0"/>
        <v>Jun-2024</v>
      </c>
    </row>
    <row r="55" spans="1:10" ht="16.5" customHeight="1" thickBot="1" x14ac:dyDescent="0.4">
      <c r="A55" s="1" t="s">
        <v>65</v>
      </c>
      <c r="B55" s="1" t="s">
        <v>48</v>
      </c>
      <c r="C55" s="1" t="s">
        <v>11</v>
      </c>
      <c r="D55" s="1" t="s">
        <v>12</v>
      </c>
      <c r="E55" s="2">
        <v>942.9</v>
      </c>
      <c r="F55" s="2">
        <v>18</v>
      </c>
      <c r="G55" s="2">
        <v>0.1</v>
      </c>
      <c r="H55" s="3">
        <v>45466</v>
      </c>
      <c r="I55" s="2">
        <v>339.44</v>
      </c>
      <c r="J55" t="str">
        <f t="shared" si="0"/>
        <v>Jun-2024</v>
      </c>
    </row>
    <row r="56" spans="1:10" ht="16.5" customHeight="1" thickBot="1" x14ac:dyDescent="0.4">
      <c r="A56" s="1" t="s">
        <v>32</v>
      </c>
      <c r="B56" s="1" t="s">
        <v>38</v>
      </c>
      <c r="C56" s="1" t="s">
        <v>24</v>
      </c>
      <c r="D56" s="1" t="s">
        <v>21</v>
      </c>
      <c r="E56" s="2">
        <v>818.8</v>
      </c>
      <c r="F56" s="2">
        <v>15</v>
      </c>
      <c r="G56" s="2">
        <v>0.15</v>
      </c>
      <c r="H56" s="3">
        <v>45468</v>
      </c>
      <c r="I56" s="2">
        <v>173.99</v>
      </c>
      <c r="J56" t="str">
        <f t="shared" si="0"/>
        <v>Jun-2024</v>
      </c>
    </row>
    <row r="57" spans="1:10" ht="16.5" customHeight="1" thickBot="1" x14ac:dyDescent="0.4">
      <c r="A57" s="1" t="s">
        <v>19</v>
      </c>
      <c r="B57" s="1" t="s">
        <v>14</v>
      </c>
      <c r="C57" s="1" t="s">
        <v>20</v>
      </c>
      <c r="D57" s="1" t="s">
        <v>27</v>
      </c>
      <c r="E57" s="2">
        <v>919.04</v>
      </c>
      <c r="F57" s="2">
        <v>10</v>
      </c>
      <c r="G57" s="2">
        <v>0.2</v>
      </c>
      <c r="H57" s="3">
        <v>45468</v>
      </c>
      <c r="I57" s="2">
        <v>257.33</v>
      </c>
      <c r="J57" t="str">
        <f t="shared" si="0"/>
        <v>Jun-2024</v>
      </c>
    </row>
    <row r="58" spans="1:10" ht="16.5" customHeight="1" thickBot="1" x14ac:dyDescent="0.4">
      <c r="A58" s="1" t="s">
        <v>22</v>
      </c>
      <c r="B58" s="1" t="s">
        <v>66</v>
      </c>
      <c r="C58" s="1" t="s">
        <v>34</v>
      </c>
      <c r="D58" s="1" t="s">
        <v>12</v>
      </c>
      <c r="E58" s="2">
        <v>973.26</v>
      </c>
      <c r="F58" s="2">
        <v>11</v>
      </c>
      <c r="G58" s="2">
        <v>0</v>
      </c>
      <c r="H58" s="3">
        <v>45470</v>
      </c>
      <c r="I58" s="2">
        <v>389.3</v>
      </c>
      <c r="J58" t="str">
        <f t="shared" si="0"/>
        <v>Jun-2024</v>
      </c>
    </row>
    <row r="59" spans="1:10" ht="16.5" customHeight="1" thickBot="1" x14ac:dyDescent="0.4">
      <c r="A59" s="1" t="s">
        <v>41</v>
      </c>
      <c r="B59" s="1" t="s">
        <v>64</v>
      </c>
      <c r="C59" s="1" t="s">
        <v>24</v>
      </c>
      <c r="D59" s="1" t="s">
        <v>21</v>
      </c>
      <c r="E59" s="2">
        <v>741.61</v>
      </c>
      <c r="F59" s="2">
        <v>1</v>
      </c>
      <c r="G59" s="2">
        <v>0.2</v>
      </c>
      <c r="H59" s="3">
        <v>45471</v>
      </c>
      <c r="I59" s="2">
        <v>148.32</v>
      </c>
      <c r="J59" t="str">
        <f t="shared" si="0"/>
        <v>Jun-2024</v>
      </c>
    </row>
    <row r="60" spans="1:10" ht="16.5" customHeight="1" thickBot="1" x14ac:dyDescent="0.4">
      <c r="A60" s="1" t="s">
        <v>67</v>
      </c>
      <c r="B60" s="1" t="s">
        <v>38</v>
      </c>
      <c r="C60" s="1" t="s">
        <v>24</v>
      </c>
      <c r="D60" s="1" t="s">
        <v>12</v>
      </c>
      <c r="E60" s="2">
        <v>1248.82</v>
      </c>
      <c r="F60" s="2">
        <v>2</v>
      </c>
      <c r="G60" s="2">
        <v>0.1</v>
      </c>
      <c r="H60" s="3">
        <v>45473</v>
      </c>
      <c r="I60" s="2">
        <v>449.58</v>
      </c>
      <c r="J60" t="str">
        <f t="shared" si="0"/>
        <v>Jun-2024</v>
      </c>
    </row>
    <row r="61" spans="1:10" ht="16.5" customHeight="1" thickBot="1" x14ac:dyDescent="0.4">
      <c r="A61" s="1" t="s">
        <v>13</v>
      </c>
      <c r="B61" s="1" t="s">
        <v>59</v>
      </c>
      <c r="C61" s="1" t="s">
        <v>11</v>
      </c>
      <c r="D61" s="1" t="s">
        <v>15</v>
      </c>
      <c r="E61" s="2">
        <v>1360.36</v>
      </c>
      <c r="F61" s="2">
        <v>17</v>
      </c>
      <c r="G61" s="2">
        <v>0</v>
      </c>
      <c r="H61" s="3">
        <v>45473</v>
      </c>
      <c r="I61" s="2">
        <v>680.18</v>
      </c>
      <c r="J61" t="str">
        <f t="shared" si="0"/>
        <v>Jun-2024</v>
      </c>
    </row>
    <row r="62" spans="1:10" ht="16.5" customHeight="1" thickBot="1" x14ac:dyDescent="0.4">
      <c r="A62" s="1" t="s">
        <v>57</v>
      </c>
      <c r="B62" s="1" t="s">
        <v>31</v>
      </c>
      <c r="C62" s="1" t="s">
        <v>18</v>
      </c>
      <c r="D62" s="1" t="s">
        <v>12</v>
      </c>
      <c r="E62" s="2">
        <v>1383.3</v>
      </c>
      <c r="F62" s="2">
        <v>8</v>
      </c>
      <c r="G62" s="2">
        <v>0.1</v>
      </c>
      <c r="H62" s="3">
        <v>45478</v>
      </c>
      <c r="I62" s="2">
        <v>497.99</v>
      </c>
      <c r="J62" t="str">
        <f t="shared" si="0"/>
        <v>Jul-2024</v>
      </c>
    </row>
    <row r="63" spans="1:10" ht="16.5" customHeight="1" thickBot="1" x14ac:dyDescent="0.4">
      <c r="A63" s="1" t="s">
        <v>35</v>
      </c>
      <c r="B63" s="1" t="s">
        <v>55</v>
      </c>
      <c r="C63" s="1" t="s">
        <v>34</v>
      </c>
      <c r="D63" s="1" t="s">
        <v>39</v>
      </c>
      <c r="E63" s="2">
        <v>488.99</v>
      </c>
      <c r="F63" s="2">
        <v>9</v>
      </c>
      <c r="G63" s="2">
        <v>0</v>
      </c>
      <c r="H63" s="3">
        <v>45479</v>
      </c>
      <c r="I63" s="2">
        <v>220.05</v>
      </c>
      <c r="J63" t="str">
        <f t="shared" si="0"/>
        <v>Jul-2024</v>
      </c>
    </row>
    <row r="64" spans="1:10" ht="16.5" customHeight="1" thickBot="1" x14ac:dyDescent="0.4">
      <c r="A64" s="1" t="s">
        <v>30</v>
      </c>
      <c r="B64" s="1" t="s">
        <v>31</v>
      </c>
      <c r="C64" s="1" t="s">
        <v>18</v>
      </c>
      <c r="D64" s="1" t="s">
        <v>27</v>
      </c>
      <c r="E64" s="2">
        <v>933.71</v>
      </c>
      <c r="F64" s="2">
        <v>17</v>
      </c>
      <c r="G64" s="2">
        <v>0.1</v>
      </c>
      <c r="H64" s="3">
        <v>45481</v>
      </c>
      <c r="I64" s="2">
        <v>294.12</v>
      </c>
      <c r="J64" t="str">
        <f t="shared" si="0"/>
        <v>Jul-2024</v>
      </c>
    </row>
    <row r="65" spans="1:10" ht="16.5" customHeight="1" thickBot="1" x14ac:dyDescent="0.4">
      <c r="A65" s="1" t="s">
        <v>67</v>
      </c>
      <c r="B65" s="1" t="s">
        <v>10</v>
      </c>
      <c r="C65" s="1" t="s">
        <v>11</v>
      </c>
      <c r="D65" s="1" t="s">
        <v>21</v>
      </c>
      <c r="E65" s="2">
        <v>1005.53</v>
      </c>
      <c r="F65" s="2">
        <v>17</v>
      </c>
      <c r="G65" s="2">
        <v>0.2</v>
      </c>
      <c r="H65" s="3">
        <v>45481</v>
      </c>
      <c r="I65" s="2">
        <v>201.11</v>
      </c>
      <c r="J65" t="str">
        <f t="shared" si="0"/>
        <v>Jul-2024</v>
      </c>
    </row>
    <row r="66" spans="1:10" ht="16.5" customHeight="1" thickBot="1" x14ac:dyDescent="0.4">
      <c r="A66" s="1" t="s">
        <v>41</v>
      </c>
      <c r="B66" s="1" t="s">
        <v>61</v>
      </c>
      <c r="C66" s="1" t="s">
        <v>20</v>
      </c>
      <c r="D66" s="1" t="s">
        <v>21</v>
      </c>
      <c r="E66" s="2">
        <v>1100.0999999999999</v>
      </c>
      <c r="F66" s="2">
        <v>5</v>
      </c>
      <c r="G66" s="2">
        <v>0.05</v>
      </c>
      <c r="H66" s="3">
        <v>45482</v>
      </c>
      <c r="I66" s="2">
        <v>261.27</v>
      </c>
      <c r="J66" t="str">
        <f t="shared" si="0"/>
        <v>Jul-2024</v>
      </c>
    </row>
    <row r="67" spans="1:10" ht="16.5" customHeight="1" thickBot="1" x14ac:dyDescent="0.4">
      <c r="A67" s="1" t="s">
        <v>67</v>
      </c>
      <c r="B67" s="1" t="s">
        <v>23</v>
      </c>
      <c r="C67" s="1" t="s">
        <v>24</v>
      </c>
      <c r="D67" s="1" t="s">
        <v>27</v>
      </c>
      <c r="E67" s="2">
        <v>1034.7</v>
      </c>
      <c r="F67" s="2">
        <v>15</v>
      </c>
      <c r="G67" s="2">
        <v>0.15</v>
      </c>
      <c r="H67" s="3">
        <v>45487</v>
      </c>
      <c r="I67" s="2">
        <v>307.82</v>
      </c>
      <c r="J67" t="str">
        <f t="shared" ref="J67:J130" si="1">TEXT(H67,"mmm-yyyy")</f>
        <v>Jul-2024</v>
      </c>
    </row>
    <row r="68" spans="1:10" ht="16.5" customHeight="1" thickBot="1" x14ac:dyDescent="0.4">
      <c r="A68" s="1" t="s">
        <v>65</v>
      </c>
      <c r="B68" s="1" t="s">
        <v>31</v>
      </c>
      <c r="C68" s="1" t="s">
        <v>20</v>
      </c>
      <c r="D68" s="1" t="s">
        <v>12</v>
      </c>
      <c r="E68" s="2">
        <v>876.44</v>
      </c>
      <c r="F68" s="2">
        <v>12</v>
      </c>
      <c r="G68" s="2">
        <v>0.05</v>
      </c>
      <c r="H68" s="3">
        <v>45488</v>
      </c>
      <c r="I68" s="2">
        <v>333.05</v>
      </c>
      <c r="J68" t="str">
        <f t="shared" si="1"/>
        <v>Jul-2024</v>
      </c>
    </row>
    <row r="69" spans="1:10" ht="16.5" customHeight="1" thickBot="1" x14ac:dyDescent="0.4">
      <c r="A69" s="1" t="s">
        <v>68</v>
      </c>
      <c r="B69" s="1" t="s">
        <v>55</v>
      </c>
      <c r="C69" s="1" t="s">
        <v>11</v>
      </c>
      <c r="D69" s="1" t="s">
        <v>27</v>
      </c>
      <c r="E69" s="2">
        <v>1371.34</v>
      </c>
      <c r="F69" s="2">
        <v>5</v>
      </c>
      <c r="G69" s="2">
        <v>0.05</v>
      </c>
      <c r="H69" s="3">
        <v>45488</v>
      </c>
      <c r="I69" s="2">
        <v>455.97</v>
      </c>
      <c r="J69" t="str">
        <f t="shared" si="1"/>
        <v>Jul-2024</v>
      </c>
    </row>
    <row r="70" spans="1:10" ht="16.5" customHeight="1" thickBot="1" x14ac:dyDescent="0.4">
      <c r="A70" s="1" t="s">
        <v>57</v>
      </c>
      <c r="B70" s="1" t="s">
        <v>47</v>
      </c>
      <c r="C70" s="1" t="s">
        <v>24</v>
      </c>
      <c r="D70" s="1" t="s">
        <v>21</v>
      </c>
      <c r="E70" s="2">
        <v>1020.26</v>
      </c>
      <c r="F70" s="2">
        <v>11</v>
      </c>
      <c r="G70" s="2">
        <v>0.05</v>
      </c>
      <c r="H70" s="3">
        <v>45494</v>
      </c>
      <c r="I70" s="2">
        <v>242.31</v>
      </c>
      <c r="J70" t="str">
        <f t="shared" si="1"/>
        <v>Jul-2024</v>
      </c>
    </row>
    <row r="71" spans="1:10" ht="16.5" customHeight="1" thickBot="1" x14ac:dyDescent="0.4">
      <c r="A71" s="1" t="s">
        <v>44</v>
      </c>
      <c r="B71" s="1" t="s">
        <v>10</v>
      </c>
      <c r="C71" s="1" t="s">
        <v>34</v>
      </c>
      <c r="D71" s="1" t="s">
        <v>39</v>
      </c>
      <c r="E71" s="2">
        <v>804.81</v>
      </c>
      <c r="F71" s="2">
        <v>1</v>
      </c>
      <c r="G71" s="2">
        <v>0.05</v>
      </c>
      <c r="H71" s="3">
        <v>45502</v>
      </c>
      <c r="I71" s="2">
        <v>344.06</v>
      </c>
      <c r="J71" t="str">
        <f t="shared" si="1"/>
        <v>Jul-2024</v>
      </c>
    </row>
    <row r="72" spans="1:10" ht="16.5" customHeight="1" thickBot="1" x14ac:dyDescent="0.4">
      <c r="A72" s="1" t="s">
        <v>22</v>
      </c>
      <c r="B72" s="1" t="s">
        <v>55</v>
      </c>
      <c r="C72" s="1" t="s">
        <v>34</v>
      </c>
      <c r="D72" s="1" t="s">
        <v>21</v>
      </c>
      <c r="E72" s="2">
        <v>608.66</v>
      </c>
      <c r="F72" s="2">
        <v>1</v>
      </c>
      <c r="G72" s="2">
        <v>0.05</v>
      </c>
      <c r="H72" s="3">
        <v>45503</v>
      </c>
      <c r="I72" s="2">
        <v>144.56</v>
      </c>
      <c r="J72" t="str">
        <f t="shared" si="1"/>
        <v>Jul-2024</v>
      </c>
    </row>
    <row r="73" spans="1:10" ht="16.5" customHeight="1" thickBot="1" x14ac:dyDescent="0.4">
      <c r="A73" s="1" t="s">
        <v>68</v>
      </c>
      <c r="B73" s="1" t="s">
        <v>69</v>
      </c>
      <c r="C73" s="1" t="s">
        <v>20</v>
      </c>
      <c r="D73" s="1" t="s">
        <v>39</v>
      </c>
      <c r="E73" s="2">
        <v>981.2</v>
      </c>
      <c r="F73" s="2">
        <v>19</v>
      </c>
      <c r="G73" s="2">
        <v>0</v>
      </c>
      <c r="H73" s="3">
        <v>45504</v>
      </c>
      <c r="I73" s="2">
        <v>441.54</v>
      </c>
      <c r="J73" t="str">
        <f t="shared" si="1"/>
        <v>Jul-2024</v>
      </c>
    </row>
    <row r="74" spans="1:10" ht="16.5" customHeight="1" thickBot="1" x14ac:dyDescent="0.4">
      <c r="A74" s="1" t="s">
        <v>70</v>
      </c>
      <c r="B74" s="1" t="s">
        <v>55</v>
      </c>
      <c r="C74" s="1" t="s">
        <v>18</v>
      </c>
      <c r="D74" s="1" t="s">
        <v>21</v>
      </c>
      <c r="E74" s="2">
        <v>539.77</v>
      </c>
      <c r="F74" s="2">
        <v>10</v>
      </c>
      <c r="G74" s="2">
        <v>0.15</v>
      </c>
      <c r="H74" s="3">
        <v>45509</v>
      </c>
      <c r="I74" s="2">
        <v>114.7</v>
      </c>
      <c r="J74" t="str">
        <f t="shared" si="1"/>
        <v>Aug-2024</v>
      </c>
    </row>
    <row r="75" spans="1:10" ht="16.5" customHeight="1" thickBot="1" x14ac:dyDescent="0.4">
      <c r="A75" s="1" t="s">
        <v>13</v>
      </c>
      <c r="B75" s="1" t="s">
        <v>71</v>
      </c>
      <c r="C75" s="1" t="s">
        <v>20</v>
      </c>
      <c r="D75" s="1" t="s">
        <v>12</v>
      </c>
      <c r="E75" s="2">
        <v>804.45</v>
      </c>
      <c r="F75" s="2">
        <v>5</v>
      </c>
      <c r="G75" s="2">
        <v>0.2</v>
      </c>
      <c r="H75" s="3">
        <v>45509</v>
      </c>
      <c r="I75" s="2">
        <v>257.42</v>
      </c>
      <c r="J75" t="str">
        <f t="shared" si="1"/>
        <v>Aug-2024</v>
      </c>
    </row>
    <row r="76" spans="1:10" ht="16.5" customHeight="1" thickBot="1" x14ac:dyDescent="0.4">
      <c r="A76" s="1" t="s">
        <v>70</v>
      </c>
      <c r="B76" s="1" t="s">
        <v>38</v>
      </c>
      <c r="C76" s="1" t="s">
        <v>11</v>
      </c>
      <c r="D76" s="1" t="s">
        <v>21</v>
      </c>
      <c r="E76" s="2">
        <v>1526.6</v>
      </c>
      <c r="F76" s="2">
        <v>13</v>
      </c>
      <c r="G76" s="2">
        <v>0.2</v>
      </c>
      <c r="H76" s="3">
        <v>45512</v>
      </c>
      <c r="I76" s="2">
        <v>305.32</v>
      </c>
      <c r="J76" t="str">
        <f t="shared" si="1"/>
        <v>Aug-2024</v>
      </c>
    </row>
    <row r="77" spans="1:10" ht="16.5" customHeight="1" thickBot="1" x14ac:dyDescent="0.4">
      <c r="A77" s="1" t="s">
        <v>13</v>
      </c>
      <c r="B77" s="1" t="s">
        <v>29</v>
      </c>
      <c r="C77" s="1" t="s">
        <v>11</v>
      </c>
      <c r="D77" s="1" t="s">
        <v>21</v>
      </c>
      <c r="E77" s="2">
        <v>1215.26</v>
      </c>
      <c r="F77" s="2">
        <v>5</v>
      </c>
      <c r="G77" s="2">
        <v>0.15</v>
      </c>
      <c r="H77" s="3">
        <v>45513</v>
      </c>
      <c r="I77" s="2">
        <v>258.24</v>
      </c>
      <c r="J77" t="str">
        <f t="shared" si="1"/>
        <v>Aug-2024</v>
      </c>
    </row>
    <row r="78" spans="1:10" ht="16.5" customHeight="1" thickBot="1" x14ac:dyDescent="0.4">
      <c r="A78" s="1" t="s">
        <v>19</v>
      </c>
      <c r="B78" s="1" t="s">
        <v>53</v>
      </c>
      <c r="C78" s="1" t="s">
        <v>34</v>
      </c>
      <c r="D78" s="1" t="s">
        <v>27</v>
      </c>
      <c r="E78" s="2">
        <v>1261.3399999999999</v>
      </c>
      <c r="F78" s="2">
        <v>3</v>
      </c>
      <c r="G78" s="2">
        <v>0</v>
      </c>
      <c r="H78" s="3">
        <v>45519</v>
      </c>
      <c r="I78" s="2">
        <v>441.47</v>
      </c>
      <c r="J78" t="str">
        <f t="shared" si="1"/>
        <v>Aug-2024</v>
      </c>
    </row>
    <row r="79" spans="1:10" ht="16.5" customHeight="1" thickBot="1" x14ac:dyDescent="0.4">
      <c r="A79" s="1" t="s">
        <v>72</v>
      </c>
      <c r="B79" s="1" t="s">
        <v>45</v>
      </c>
      <c r="C79" s="1" t="s">
        <v>24</v>
      </c>
      <c r="D79" s="1" t="s">
        <v>27</v>
      </c>
      <c r="E79" s="2">
        <v>518.07000000000005</v>
      </c>
      <c r="F79" s="2">
        <v>7</v>
      </c>
      <c r="G79" s="2">
        <v>0.05</v>
      </c>
      <c r="H79" s="3">
        <v>45522</v>
      </c>
      <c r="I79" s="2">
        <v>172.26</v>
      </c>
      <c r="J79" t="str">
        <f t="shared" si="1"/>
        <v>Aug-2024</v>
      </c>
    </row>
    <row r="80" spans="1:10" ht="16.5" customHeight="1" thickBot="1" x14ac:dyDescent="0.4">
      <c r="A80" s="1" t="s">
        <v>30</v>
      </c>
      <c r="B80" s="1" t="s">
        <v>29</v>
      </c>
      <c r="C80" s="1" t="s">
        <v>11</v>
      </c>
      <c r="D80" s="1" t="s">
        <v>39</v>
      </c>
      <c r="E80" s="2">
        <v>1111.3399999999999</v>
      </c>
      <c r="F80" s="2">
        <v>1</v>
      </c>
      <c r="G80" s="2">
        <v>0</v>
      </c>
      <c r="H80" s="3">
        <v>45523</v>
      </c>
      <c r="I80" s="2">
        <v>500.1</v>
      </c>
      <c r="J80" t="str">
        <f t="shared" si="1"/>
        <v>Aug-2024</v>
      </c>
    </row>
    <row r="81" spans="1:10" ht="16.5" customHeight="1" thickBot="1" x14ac:dyDescent="0.4">
      <c r="A81" s="1" t="s">
        <v>22</v>
      </c>
      <c r="B81" s="1" t="s">
        <v>31</v>
      </c>
      <c r="C81" s="1" t="s">
        <v>18</v>
      </c>
      <c r="D81" s="1" t="s">
        <v>15</v>
      </c>
      <c r="E81" s="2">
        <v>1291.47</v>
      </c>
      <c r="F81" s="2">
        <v>18</v>
      </c>
      <c r="G81" s="2">
        <v>0.1</v>
      </c>
      <c r="H81" s="3">
        <v>45526</v>
      </c>
      <c r="I81" s="2">
        <v>581.16</v>
      </c>
      <c r="J81" t="str">
        <f t="shared" si="1"/>
        <v>Aug-2024</v>
      </c>
    </row>
    <row r="82" spans="1:10" ht="16.5" customHeight="1" thickBot="1" x14ac:dyDescent="0.4">
      <c r="A82" s="1" t="s">
        <v>25</v>
      </c>
      <c r="B82" s="1" t="s">
        <v>55</v>
      </c>
      <c r="C82" s="1" t="s">
        <v>24</v>
      </c>
      <c r="D82" s="1" t="s">
        <v>12</v>
      </c>
      <c r="E82" s="2">
        <v>679.71</v>
      </c>
      <c r="F82" s="2">
        <v>19</v>
      </c>
      <c r="G82" s="2">
        <v>0</v>
      </c>
      <c r="H82" s="3">
        <v>45534</v>
      </c>
      <c r="I82" s="2">
        <v>271.88</v>
      </c>
      <c r="J82" t="str">
        <f t="shared" si="1"/>
        <v>Aug-2024</v>
      </c>
    </row>
    <row r="83" spans="1:10" ht="16.5" customHeight="1" thickBot="1" x14ac:dyDescent="0.4">
      <c r="A83" s="1" t="s">
        <v>68</v>
      </c>
      <c r="B83" s="1" t="s">
        <v>33</v>
      </c>
      <c r="C83" s="1" t="s">
        <v>18</v>
      </c>
      <c r="D83" s="1" t="s">
        <v>27</v>
      </c>
      <c r="E83" s="2">
        <v>1143.69</v>
      </c>
      <c r="F83" s="2">
        <v>17</v>
      </c>
      <c r="G83" s="2">
        <v>0</v>
      </c>
      <c r="H83" s="3">
        <v>45534</v>
      </c>
      <c r="I83" s="2">
        <v>400.29</v>
      </c>
      <c r="J83" t="str">
        <f t="shared" si="1"/>
        <v>Aug-2024</v>
      </c>
    </row>
    <row r="84" spans="1:10" ht="16.5" customHeight="1" thickBot="1" x14ac:dyDescent="0.4">
      <c r="A84" s="1" t="s">
        <v>52</v>
      </c>
      <c r="B84" s="1" t="s">
        <v>50</v>
      </c>
      <c r="C84" s="1" t="s">
        <v>34</v>
      </c>
      <c r="D84" s="1" t="s">
        <v>21</v>
      </c>
      <c r="E84" s="2">
        <v>790.08</v>
      </c>
      <c r="F84" s="2">
        <v>7</v>
      </c>
      <c r="G84" s="2">
        <v>0.1</v>
      </c>
      <c r="H84" s="3">
        <v>45536</v>
      </c>
      <c r="I84" s="2">
        <v>177.77</v>
      </c>
      <c r="J84" t="str">
        <f t="shared" si="1"/>
        <v>Sep-2024</v>
      </c>
    </row>
    <row r="85" spans="1:10" ht="16.5" customHeight="1" thickBot="1" x14ac:dyDescent="0.4">
      <c r="A85" s="1" t="s">
        <v>19</v>
      </c>
      <c r="B85" s="1" t="s">
        <v>48</v>
      </c>
      <c r="C85" s="1" t="s">
        <v>34</v>
      </c>
      <c r="D85" s="1" t="s">
        <v>12</v>
      </c>
      <c r="E85" s="2">
        <v>1070.68</v>
      </c>
      <c r="F85" s="2">
        <v>7</v>
      </c>
      <c r="G85" s="2">
        <v>0.05</v>
      </c>
      <c r="H85" s="3">
        <v>45536</v>
      </c>
      <c r="I85" s="2">
        <v>406.86</v>
      </c>
      <c r="J85" t="str">
        <f t="shared" si="1"/>
        <v>Sep-2024</v>
      </c>
    </row>
    <row r="86" spans="1:10" ht="16.5" customHeight="1" thickBot="1" x14ac:dyDescent="0.4">
      <c r="A86" s="1" t="s">
        <v>58</v>
      </c>
      <c r="B86" s="1" t="s">
        <v>36</v>
      </c>
      <c r="C86" s="1" t="s">
        <v>11</v>
      </c>
      <c r="D86" s="1" t="s">
        <v>15</v>
      </c>
      <c r="E86" s="2">
        <v>1168.8900000000001</v>
      </c>
      <c r="F86" s="2">
        <v>4</v>
      </c>
      <c r="G86" s="2">
        <v>0.1</v>
      </c>
      <c r="H86" s="3">
        <v>45544</v>
      </c>
      <c r="I86" s="2">
        <v>526</v>
      </c>
      <c r="J86" t="str">
        <f t="shared" si="1"/>
        <v>Sep-2024</v>
      </c>
    </row>
    <row r="87" spans="1:10" ht="16.5" customHeight="1" thickBot="1" x14ac:dyDescent="0.4">
      <c r="A87" s="1" t="s">
        <v>67</v>
      </c>
      <c r="B87" s="1" t="s">
        <v>10</v>
      </c>
      <c r="C87" s="1" t="s">
        <v>20</v>
      </c>
      <c r="D87" s="1" t="s">
        <v>21</v>
      </c>
      <c r="E87" s="2">
        <v>1335.87</v>
      </c>
      <c r="F87" s="2">
        <v>17</v>
      </c>
      <c r="G87" s="2">
        <v>0</v>
      </c>
      <c r="H87" s="3">
        <v>45544</v>
      </c>
      <c r="I87" s="2">
        <v>333.97</v>
      </c>
      <c r="J87" t="str">
        <f t="shared" si="1"/>
        <v>Sep-2024</v>
      </c>
    </row>
    <row r="88" spans="1:10" ht="16.5" customHeight="1" thickBot="1" x14ac:dyDescent="0.4">
      <c r="A88" s="1" t="s">
        <v>40</v>
      </c>
      <c r="B88" s="1" t="s">
        <v>55</v>
      </c>
      <c r="C88" s="1" t="s">
        <v>18</v>
      </c>
      <c r="D88" s="1" t="s">
        <v>27</v>
      </c>
      <c r="E88" s="2">
        <v>873.7</v>
      </c>
      <c r="F88" s="2">
        <v>9</v>
      </c>
      <c r="G88" s="2">
        <v>0</v>
      </c>
      <c r="H88" s="3">
        <v>45546</v>
      </c>
      <c r="I88" s="2">
        <v>305.8</v>
      </c>
      <c r="J88" t="str">
        <f t="shared" si="1"/>
        <v>Sep-2024</v>
      </c>
    </row>
    <row r="89" spans="1:10" ht="16.5" customHeight="1" thickBot="1" x14ac:dyDescent="0.4">
      <c r="A89" s="1" t="s">
        <v>72</v>
      </c>
      <c r="B89" s="1" t="s">
        <v>64</v>
      </c>
      <c r="C89" s="1" t="s">
        <v>11</v>
      </c>
      <c r="D89" s="1" t="s">
        <v>39</v>
      </c>
      <c r="E89" s="2">
        <v>1443.98</v>
      </c>
      <c r="F89" s="2">
        <v>19</v>
      </c>
      <c r="G89" s="2">
        <v>0</v>
      </c>
      <c r="H89" s="3">
        <v>45547</v>
      </c>
      <c r="I89" s="2">
        <v>649.79</v>
      </c>
      <c r="J89" t="str">
        <f t="shared" si="1"/>
        <v>Sep-2024</v>
      </c>
    </row>
    <row r="90" spans="1:10" ht="16.5" customHeight="1" thickBot="1" x14ac:dyDescent="0.4">
      <c r="A90" s="1" t="s">
        <v>40</v>
      </c>
      <c r="B90" s="1" t="s">
        <v>23</v>
      </c>
      <c r="C90" s="1" t="s">
        <v>18</v>
      </c>
      <c r="D90" s="1" t="s">
        <v>39</v>
      </c>
      <c r="E90" s="2">
        <v>1154.33</v>
      </c>
      <c r="F90" s="2">
        <v>11</v>
      </c>
      <c r="G90" s="2">
        <v>0.15</v>
      </c>
      <c r="H90" s="3">
        <v>45549</v>
      </c>
      <c r="I90" s="2">
        <v>441.53</v>
      </c>
      <c r="J90" t="str">
        <f t="shared" si="1"/>
        <v>Sep-2024</v>
      </c>
    </row>
    <row r="91" spans="1:10" ht="16.5" customHeight="1" thickBot="1" x14ac:dyDescent="0.4">
      <c r="A91" s="1" t="s">
        <v>49</v>
      </c>
      <c r="B91" s="1" t="s">
        <v>50</v>
      </c>
      <c r="C91" s="1" t="s">
        <v>20</v>
      </c>
      <c r="D91" s="1" t="s">
        <v>12</v>
      </c>
      <c r="E91" s="2">
        <v>1264.49</v>
      </c>
      <c r="F91" s="2">
        <v>16</v>
      </c>
      <c r="G91" s="2">
        <v>0.05</v>
      </c>
      <c r="H91" s="3">
        <v>45549</v>
      </c>
      <c r="I91" s="2">
        <v>480.51</v>
      </c>
      <c r="J91" t="str">
        <f t="shared" si="1"/>
        <v>Sep-2024</v>
      </c>
    </row>
    <row r="92" spans="1:10" ht="16.5" customHeight="1" thickBot="1" x14ac:dyDescent="0.4">
      <c r="A92" s="1" t="s">
        <v>25</v>
      </c>
      <c r="B92" s="1" t="s">
        <v>66</v>
      </c>
      <c r="C92" s="1" t="s">
        <v>11</v>
      </c>
      <c r="D92" s="1" t="s">
        <v>27</v>
      </c>
      <c r="E92" s="2">
        <v>1101.55</v>
      </c>
      <c r="F92" s="2">
        <v>4</v>
      </c>
      <c r="G92" s="2">
        <v>0.1</v>
      </c>
      <c r="H92" s="3">
        <v>45551</v>
      </c>
      <c r="I92" s="2">
        <v>346.99</v>
      </c>
      <c r="J92" t="str">
        <f t="shared" si="1"/>
        <v>Sep-2024</v>
      </c>
    </row>
    <row r="93" spans="1:10" ht="16.5" customHeight="1" thickBot="1" x14ac:dyDescent="0.4">
      <c r="A93" s="1" t="s">
        <v>73</v>
      </c>
      <c r="B93" s="1" t="s">
        <v>14</v>
      </c>
      <c r="C93" s="1" t="s">
        <v>20</v>
      </c>
      <c r="D93" s="1" t="s">
        <v>27</v>
      </c>
      <c r="E93" s="2">
        <v>727.73</v>
      </c>
      <c r="F93" s="2">
        <v>1</v>
      </c>
      <c r="G93" s="2">
        <v>0.1</v>
      </c>
      <c r="H93" s="3">
        <v>45552</v>
      </c>
      <c r="I93" s="2">
        <v>229.23</v>
      </c>
      <c r="J93" t="str">
        <f t="shared" si="1"/>
        <v>Sep-2024</v>
      </c>
    </row>
    <row r="94" spans="1:10" ht="16.5" customHeight="1" thickBot="1" x14ac:dyDescent="0.4">
      <c r="A94" s="1" t="s">
        <v>74</v>
      </c>
      <c r="B94" s="1" t="s">
        <v>38</v>
      </c>
      <c r="C94" s="1" t="s">
        <v>18</v>
      </c>
      <c r="D94" s="1" t="s">
        <v>39</v>
      </c>
      <c r="E94" s="2">
        <v>875.41</v>
      </c>
      <c r="F94" s="2">
        <v>13</v>
      </c>
      <c r="G94" s="2">
        <v>0.15</v>
      </c>
      <c r="H94" s="3">
        <v>45552</v>
      </c>
      <c r="I94" s="2">
        <v>334.84</v>
      </c>
      <c r="J94" t="str">
        <f t="shared" si="1"/>
        <v>Sep-2024</v>
      </c>
    </row>
    <row r="95" spans="1:10" ht="16.5" customHeight="1" thickBot="1" x14ac:dyDescent="0.4">
      <c r="A95" s="1" t="s">
        <v>67</v>
      </c>
      <c r="B95" s="1" t="s">
        <v>23</v>
      </c>
      <c r="C95" s="1" t="s">
        <v>11</v>
      </c>
      <c r="D95" s="1" t="s">
        <v>21</v>
      </c>
      <c r="E95" s="2">
        <v>1158.94</v>
      </c>
      <c r="F95" s="2">
        <v>19</v>
      </c>
      <c r="G95" s="2">
        <v>0.2</v>
      </c>
      <c r="H95" s="3">
        <v>45553</v>
      </c>
      <c r="I95" s="2">
        <v>231.79</v>
      </c>
      <c r="J95" t="str">
        <f t="shared" si="1"/>
        <v>Sep-2024</v>
      </c>
    </row>
    <row r="96" spans="1:10" ht="16.5" customHeight="1" thickBot="1" x14ac:dyDescent="0.4">
      <c r="A96" s="1" t="s">
        <v>75</v>
      </c>
      <c r="B96" s="1" t="s">
        <v>47</v>
      </c>
      <c r="C96" s="1" t="s">
        <v>20</v>
      </c>
      <c r="D96" s="1" t="s">
        <v>12</v>
      </c>
      <c r="E96" s="2">
        <v>966.3</v>
      </c>
      <c r="F96" s="2">
        <v>2</v>
      </c>
      <c r="G96" s="2">
        <v>0.15</v>
      </c>
      <c r="H96" s="3">
        <v>45557</v>
      </c>
      <c r="I96" s="2">
        <v>328.54</v>
      </c>
      <c r="J96" t="str">
        <f t="shared" si="1"/>
        <v>Sep-2024</v>
      </c>
    </row>
    <row r="97" spans="1:10" ht="16.5" customHeight="1" thickBot="1" x14ac:dyDescent="0.4">
      <c r="A97" s="1" t="s">
        <v>68</v>
      </c>
      <c r="B97" s="1" t="s">
        <v>17</v>
      </c>
      <c r="C97" s="1" t="s">
        <v>20</v>
      </c>
      <c r="D97" s="1" t="s">
        <v>12</v>
      </c>
      <c r="E97" s="2">
        <v>917.48</v>
      </c>
      <c r="F97" s="2">
        <v>6</v>
      </c>
      <c r="G97" s="2">
        <v>0</v>
      </c>
      <c r="H97" s="3">
        <v>45558</v>
      </c>
      <c r="I97" s="2">
        <v>366.99</v>
      </c>
      <c r="J97" t="str">
        <f t="shared" si="1"/>
        <v>Sep-2024</v>
      </c>
    </row>
    <row r="98" spans="1:10" ht="16.5" customHeight="1" thickBot="1" x14ac:dyDescent="0.4">
      <c r="A98" s="1" t="s">
        <v>41</v>
      </c>
      <c r="B98" s="1" t="s">
        <v>61</v>
      </c>
      <c r="C98" s="1" t="s">
        <v>11</v>
      </c>
      <c r="D98" s="1" t="s">
        <v>27</v>
      </c>
      <c r="E98" s="2">
        <v>1172.97</v>
      </c>
      <c r="F98" s="2">
        <v>7</v>
      </c>
      <c r="G98" s="2">
        <v>0.15</v>
      </c>
      <c r="H98" s="3">
        <v>45559</v>
      </c>
      <c r="I98" s="2">
        <v>348.96</v>
      </c>
      <c r="J98" t="str">
        <f t="shared" si="1"/>
        <v>Sep-2024</v>
      </c>
    </row>
    <row r="99" spans="1:10" ht="16.5" customHeight="1" thickBot="1" x14ac:dyDescent="0.4">
      <c r="A99" s="1" t="s">
        <v>57</v>
      </c>
      <c r="B99" s="1" t="s">
        <v>23</v>
      </c>
      <c r="C99" s="1" t="s">
        <v>24</v>
      </c>
      <c r="D99" s="1" t="s">
        <v>15</v>
      </c>
      <c r="E99" s="2">
        <v>1205.82</v>
      </c>
      <c r="F99" s="2">
        <v>11</v>
      </c>
      <c r="G99" s="2">
        <v>0.1</v>
      </c>
      <c r="H99" s="3">
        <v>45559</v>
      </c>
      <c r="I99" s="2">
        <v>542.62</v>
      </c>
      <c r="J99" t="str">
        <f t="shared" si="1"/>
        <v>Sep-2024</v>
      </c>
    </row>
    <row r="100" spans="1:10" ht="16.5" customHeight="1" thickBot="1" x14ac:dyDescent="0.4">
      <c r="A100" s="1" t="s">
        <v>16</v>
      </c>
      <c r="B100" s="1" t="s">
        <v>64</v>
      </c>
      <c r="C100" s="1" t="s">
        <v>11</v>
      </c>
      <c r="D100" s="1" t="s">
        <v>39</v>
      </c>
      <c r="E100" s="2">
        <v>826.93</v>
      </c>
      <c r="F100" s="2">
        <v>10</v>
      </c>
      <c r="G100" s="2">
        <v>0.2</v>
      </c>
      <c r="H100" s="3">
        <v>45564</v>
      </c>
      <c r="I100" s="2">
        <v>297.69</v>
      </c>
      <c r="J100" t="str">
        <f t="shared" si="1"/>
        <v>Sep-2024</v>
      </c>
    </row>
    <row r="101" spans="1:10" ht="16.5" customHeight="1" thickBot="1" x14ac:dyDescent="0.4">
      <c r="A101" s="1" t="s">
        <v>67</v>
      </c>
      <c r="B101" s="1" t="s">
        <v>23</v>
      </c>
      <c r="C101" s="1" t="s">
        <v>34</v>
      </c>
      <c r="D101" s="1" t="s">
        <v>15</v>
      </c>
      <c r="E101" s="2">
        <v>902.19</v>
      </c>
      <c r="F101" s="2">
        <v>12</v>
      </c>
      <c r="G101" s="2">
        <v>0</v>
      </c>
      <c r="H101" s="3">
        <v>45564</v>
      </c>
      <c r="I101" s="2">
        <v>451.1</v>
      </c>
      <c r="J101" t="str">
        <f t="shared" si="1"/>
        <v>Sep-2024</v>
      </c>
    </row>
    <row r="102" spans="1:10" ht="16.5" customHeight="1" thickBot="1" x14ac:dyDescent="0.4">
      <c r="A102" s="1" t="s">
        <v>74</v>
      </c>
      <c r="B102" s="1" t="s">
        <v>38</v>
      </c>
      <c r="C102" s="1" t="s">
        <v>24</v>
      </c>
      <c r="D102" s="1" t="s">
        <v>12</v>
      </c>
      <c r="E102" s="2">
        <v>585.97</v>
      </c>
      <c r="F102" s="2">
        <v>17</v>
      </c>
      <c r="G102" s="2">
        <v>0.1</v>
      </c>
      <c r="H102" s="3">
        <v>45565</v>
      </c>
      <c r="I102" s="2">
        <v>210.95</v>
      </c>
      <c r="J102" t="str">
        <f t="shared" si="1"/>
        <v>Sep-2024</v>
      </c>
    </row>
    <row r="103" spans="1:10" ht="16.5" customHeight="1" thickBot="1" x14ac:dyDescent="0.4">
      <c r="A103" s="1" t="s">
        <v>60</v>
      </c>
      <c r="B103" s="1" t="s">
        <v>26</v>
      </c>
      <c r="C103" s="1" t="s">
        <v>24</v>
      </c>
      <c r="D103" s="1" t="s">
        <v>15</v>
      </c>
      <c r="E103" s="2">
        <v>990.19</v>
      </c>
      <c r="F103" s="2">
        <v>8</v>
      </c>
      <c r="G103" s="2">
        <v>0.1</v>
      </c>
      <c r="H103" s="3">
        <v>45565</v>
      </c>
      <c r="I103" s="2">
        <v>445.59</v>
      </c>
      <c r="J103" t="str">
        <f t="shared" si="1"/>
        <v>Sep-2024</v>
      </c>
    </row>
    <row r="104" spans="1:10" ht="16.5" customHeight="1" thickBot="1" x14ac:dyDescent="0.4">
      <c r="A104" s="1" t="s">
        <v>44</v>
      </c>
      <c r="B104" s="1" t="s">
        <v>56</v>
      </c>
      <c r="C104" s="1" t="s">
        <v>34</v>
      </c>
      <c r="D104" s="1" t="s">
        <v>21</v>
      </c>
      <c r="E104" s="2">
        <v>1014.09</v>
      </c>
      <c r="F104" s="2">
        <v>13</v>
      </c>
      <c r="G104" s="2">
        <v>0.2</v>
      </c>
      <c r="H104" s="3">
        <v>45567</v>
      </c>
      <c r="I104" s="2">
        <v>202.82</v>
      </c>
      <c r="J104" t="str">
        <f t="shared" si="1"/>
        <v>Oct-2024</v>
      </c>
    </row>
    <row r="105" spans="1:10" ht="16.5" customHeight="1" thickBot="1" x14ac:dyDescent="0.4">
      <c r="A105" s="1" t="s">
        <v>13</v>
      </c>
      <c r="B105" s="1" t="s">
        <v>48</v>
      </c>
      <c r="C105" s="1" t="s">
        <v>24</v>
      </c>
      <c r="D105" s="1" t="s">
        <v>21</v>
      </c>
      <c r="E105" s="2">
        <v>925.29</v>
      </c>
      <c r="F105" s="2">
        <v>17</v>
      </c>
      <c r="G105" s="2">
        <v>0</v>
      </c>
      <c r="H105" s="3">
        <v>45570</v>
      </c>
      <c r="I105" s="2">
        <v>231.32</v>
      </c>
      <c r="J105" t="str">
        <f t="shared" si="1"/>
        <v>Oct-2024</v>
      </c>
    </row>
    <row r="106" spans="1:10" ht="16.5" customHeight="1" thickBot="1" x14ac:dyDescent="0.4">
      <c r="A106" s="1" t="s">
        <v>54</v>
      </c>
      <c r="B106" s="1" t="s">
        <v>47</v>
      </c>
      <c r="C106" s="1" t="s">
        <v>18</v>
      </c>
      <c r="D106" s="1" t="s">
        <v>27</v>
      </c>
      <c r="E106" s="2">
        <v>1286.54</v>
      </c>
      <c r="F106" s="2">
        <v>8</v>
      </c>
      <c r="G106" s="2">
        <v>0</v>
      </c>
      <c r="H106" s="3">
        <v>45575</v>
      </c>
      <c r="I106" s="2">
        <v>450.29</v>
      </c>
      <c r="J106" t="str">
        <f t="shared" si="1"/>
        <v>Oct-2024</v>
      </c>
    </row>
    <row r="107" spans="1:10" ht="16.5" customHeight="1" thickBot="1" x14ac:dyDescent="0.4">
      <c r="A107" s="1" t="s">
        <v>37</v>
      </c>
      <c r="B107" s="1" t="s">
        <v>64</v>
      </c>
      <c r="C107" s="1" t="s">
        <v>20</v>
      </c>
      <c r="D107" s="1" t="s">
        <v>12</v>
      </c>
      <c r="E107" s="2">
        <v>961.62</v>
      </c>
      <c r="F107" s="2">
        <v>8</v>
      </c>
      <c r="G107" s="2">
        <v>0.2</v>
      </c>
      <c r="H107" s="3">
        <v>45577</v>
      </c>
      <c r="I107" s="2">
        <v>307.72000000000003</v>
      </c>
      <c r="J107" t="str">
        <f t="shared" si="1"/>
        <v>Oct-2024</v>
      </c>
    </row>
    <row r="108" spans="1:10" ht="16.5" customHeight="1" thickBot="1" x14ac:dyDescent="0.4">
      <c r="A108" s="1" t="s">
        <v>44</v>
      </c>
      <c r="B108" s="1" t="s">
        <v>23</v>
      </c>
      <c r="C108" s="1" t="s">
        <v>18</v>
      </c>
      <c r="D108" s="1" t="s">
        <v>12</v>
      </c>
      <c r="E108" s="2">
        <v>1081.1400000000001</v>
      </c>
      <c r="F108" s="2">
        <v>19</v>
      </c>
      <c r="G108" s="2">
        <v>0.15</v>
      </c>
      <c r="H108" s="3">
        <v>45577</v>
      </c>
      <c r="I108" s="2">
        <v>367.59</v>
      </c>
      <c r="J108" t="str">
        <f t="shared" si="1"/>
        <v>Oct-2024</v>
      </c>
    </row>
    <row r="109" spans="1:10" ht="16.5" customHeight="1" thickBot="1" x14ac:dyDescent="0.4">
      <c r="A109" s="1" t="s">
        <v>58</v>
      </c>
      <c r="B109" s="1" t="s">
        <v>23</v>
      </c>
      <c r="C109" s="1" t="s">
        <v>11</v>
      </c>
      <c r="D109" s="1" t="s">
        <v>15</v>
      </c>
      <c r="E109" s="2">
        <v>1923.66</v>
      </c>
      <c r="F109" s="2">
        <v>9</v>
      </c>
      <c r="G109" s="2">
        <v>0.2</v>
      </c>
      <c r="H109" s="3">
        <v>45580</v>
      </c>
      <c r="I109" s="2">
        <v>769.46</v>
      </c>
      <c r="J109" t="str">
        <f t="shared" si="1"/>
        <v>Oct-2024</v>
      </c>
    </row>
    <row r="110" spans="1:10" ht="16.5" customHeight="1" thickBot="1" x14ac:dyDescent="0.4">
      <c r="A110" s="1" t="s">
        <v>54</v>
      </c>
      <c r="B110" s="1" t="s">
        <v>66</v>
      </c>
      <c r="C110" s="1" t="s">
        <v>34</v>
      </c>
      <c r="D110" s="1" t="s">
        <v>15</v>
      </c>
      <c r="E110" s="2">
        <v>728.71</v>
      </c>
      <c r="F110" s="2">
        <v>14</v>
      </c>
      <c r="G110" s="2">
        <v>0.1</v>
      </c>
      <c r="H110" s="3">
        <v>45581</v>
      </c>
      <c r="I110" s="2">
        <v>327.92</v>
      </c>
      <c r="J110" t="str">
        <f t="shared" si="1"/>
        <v>Oct-2024</v>
      </c>
    </row>
    <row r="111" spans="1:10" ht="16.5" customHeight="1" thickBot="1" x14ac:dyDescent="0.4">
      <c r="A111" s="1" t="s">
        <v>9</v>
      </c>
      <c r="B111" s="1" t="s">
        <v>33</v>
      </c>
      <c r="C111" s="1" t="s">
        <v>34</v>
      </c>
      <c r="D111" s="1" t="s">
        <v>15</v>
      </c>
      <c r="E111" s="2">
        <v>1301.8900000000001</v>
      </c>
      <c r="F111" s="2">
        <v>7</v>
      </c>
      <c r="G111" s="2">
        <v>0.15</v>
      </c>
      <c r="H111" s="3">
        <v>45581</v>
      </c>
      <c r="I111" s="2">
        <v>553.29999999999995</v>
      </c>
      <c r="J111" t="str">
        <f t="shared" si="1"/>
        <v>Oct-2024</v>
      </c>
    </row>
    <row r="112" spans="1:10" ht="16.5" customHeight="1" thickBot="1" x14ac:dyDescent="0.4">
      <c r="A112" s="1" t="s">
        <v>70</v>
      </c>
      <c r="B112" s="1" t="s">
        <v>66</v>
      </c>
      <c r="C112" s="1" t="s">
        <v>18</v>
      </c>
      <c r="D112" s="1" t="s">
        <v>12</v>
      </c>
      <c r="E112" s="2">
        <v>980.18</v>
      </c>
      <c r="F112" s="2">
        <v>16</v>
      </c>
      <c r="G112" s="2">
        <v>0.1</v>
      </c>
      <c r="H112" s="3">
        <v>45582</v>
      </c>
      <c r="I112" s="2">
        <v>352.86</v>
      </c>
      <c r="J112" t="str">
        <f t="shared" si="1"/>
        <v>Oct-2024</v>
      </c>
    </row>
    <row r="113" spans="1:10" ht="16.5" customHeight="1" thickBot="1" x14ac:dyDescent="0.4">
      <c r="A113" s="1" t="s">
        <v>74</v>
      </c>
      <c r="B113" s="1" t="s">
        <v>23</v>
      </c>
      <c r="C113" s="1" t="s">
        <v>11</v>
      </c>
      <c r="D113" s="1" t="s">
        <v>15</v>
      </c>
      <c r="E113" s="2">
        <v>697.57</v>
      </c>
      <c r="F113" s="2">
        <v>17</v>
      </c>
      <c r="G113" s="2">
        <v>0.1</v>
      </c>
      <c r="H113" s="3">
        <v>45584</v>
      </c>
      <c r="I113" s="2">
        <v>313.91000000000003</v>
      </c>
      <c r="J113" t="str">
        <f t="shared" si="1"/>
        <v>Oct-2024</v>
      </c>
    </row>
    <row r="114" spans="1:10" ht="16.5" customHeight="1" thickBot="1" x14ac:dyDescent="0.4">
      <c r="A114" s="1" t="s">
        <v>46</v>
      </c>
      <c r="B114" s="1" t="s">
        <v>71</v>
      </c>
      <c r="C114" s="1" t="s">
        <v>11</v>
      </c>
      <c r="D114" s="1" t="s">
        <v>27</v>
      </c>
      <c r="E114" s="2">
        <v>1193.6099999999999</v>
      </c>
      <c r="F114" s="2">
        <v>1</v>
      </c>
      <c r="G114" s="2">
        <v>0.15</v>
      </c>
      <c r="H114" s="3">
        <v>45584</v>
      </c>
      <c r="I114" s="2">
        <v>355.1</v>
      </c>
      <c r="J114" t="str">
        <f t="shared" si="1"/>
        <v>Oct-2024</v>
      </c>
    </row>
    <row r="115" spans="1:10" ht="16.5" customHeight="1" thickBot="1" x14ac:dyDescent="0.4">
      <c r="A115" s="1" t="s">
        <v>32</v>
      </c>
      <c r="B115" s="1" t="s">
        <v>38</v>
      </c>
      <c r="C115" s="1" t="s">
        <v>20</v>
      </c>
      <c r="D115" s="1" t="s">
        <v>21</v>
      </c>
      <c r="E115" s="2">
        <v>771.02</v>
      </c>
      <c r="F115" s="2">
        <v>1</v>
      </c>
      <c r="G115" s="2">
        <v>0</v>
      </c>
      <c r="H115" s="3">
        <v>45585</v>
      </c>
      <c r="I115" s="2">
        <v>192.76</v>
      </c>
      <c r="J115" t="str">
        <f t="shared" si="1"/>
        <v>Oct-2024</v>
      </c>
    </row>
    <row r="116" spans="1:10" ht="16.5" customHeight="1" thickBot="1" x14ac:dyDescent="0.4">
      <c r="A116" s="1" t="s">
        <v>67</v>
      </c>
      <c r="B116" s="1" t="s">
        <v>69</v>
      </c>
      <c r="C116" s="1" t="s">
        <v>24</v>
      </c>
      <c r="D116" s="1" t="s">
        <v>15</v>
      </c>
      <c r="E116" s="2">
        <v>661.09</v>
      </c>
      <c r="F116" s="2">
        <v>1</v>
      </c>
      <c r="G116" s="2">
        <v>0.2</v>
      </c>
      <c r="H116" s="3">
        <v>45593</v>
      </c>
      <c r="I116" s="2">
        <v>264.44</v>
      </c>
      <c r="J116" t="str">
        <f t="shared" si="1"/>
        <v>Oct-2024</v>
      </c>
    </row>
    <row r="117" spans="1:10" ht="16.5" customHeight="1" thickBot="1" x14ac:dyDescent="0.4">
      <c r="A117" s="1" t="s">
        <v>13</v>
      </c>
      <c r="B117" s="1" t="s">
        <v>55</v>
      </c>
      <c r="C117" s="1" t="s">
        <v>11</v>
      </c>
      <c r="D117" s="1" t="s">
        <v>21</v>
      </c>
      <c r="E117" s="2">
        <v>688.83</v>
      </c>
      <c r="F117" s="2">
        <v>15</v>
      </c>
      <c r="G117" s="2">
        <v>0</v>
      </c>
      <c r="H117" s="3">
        <v>45595</v>
      </c>
      <c r="I117" s="2">
        <v>172.21</v>
      </c>
      <c r="J117" t="str">
        <f t="shared" si="1"/>
        <v>Oct-2024</v>
      </c>
    </row>
    <row r="118" spans="1:10" ht="16.5" customHeight="1" thickBot="1" x14ac:dyDescent="0.4">
      <c r="A118" s="1" t="s">
        <v>73</v>
      </c>
      <c r="B118" s="1" t="s">
        <v>29</v>
      </c>
      <c r="C118" s="1" t="s">
        <v>34</v>
      </c>
      <c r="D118" s="1" t="s">
        <v>12</v>
      </c>
      <c r="E118" s="2">
        <v>1249.0999999999999</v>
      </c>
      <c r="F118" s="2">
        <v>4</v>
      </c>
      <c r="G118" s="2">
        <v>0.05</v>
      </c>
      <c r="H118" s="3">
        <v>45597</v>
      </c>
      <c r="I118" s="2">
        <v>474.66</v>
      </c>
      <c r="J118" t="str">
        <f t="shared" si="1"/>
        <v>Nov-2024</v>
      </c>
    </row>
    <row r="119" spans="1:10" ht="16.5" customHeight="1" thickBot="1" x14ac:dyDescent="0.4">
      <c r="A119" s="1" t="s">
        <v>44</v>
      </c>
      <c r="B119" s="1" t="s">
        <v>23</v>
      </c>
      <c r="C119" s="1" t="s">
        <v>18</v>
      </c>
      <c r="D119" s="1" t="s">
        <v>39</v>
      </c>
      <c r="E119" s="2">
        <v>1014.22</v>
      </c>
      <c r="F119" s="2">
        <v>14</v>
      </c>
      <c r="G119" s="2">
        <v>0.05</v>
      </c>
      <c r="H119" s="3">
        <v>45599</v>
      </c>
      <c r="I119" s="2">
        <v>433.58</v>
      </c>
      <c r="J119" t="str">
        <f t="shared" si="1"/>
        <v>Nov-2024</v>
      </c>
    </row>
    <row r="120" spans="1:10" ht="16.5" customHeight="1" thickBot="1" x14ac:dyDescent="0.4">
      <c r="A120" s="1" t="s">
        <v>54</v>
      </c>
      <c r="B120" s="1" t="s">
        <v>48</v>
      </c>
      <c r="C120" s="1" t="s">
        <v>18</v>
      </c>
      <c r="D120" s="1" t="s">
        <v>12</v>
      </c>
      <c r="E120" s="2">
        <v>1010.58</v>
      </c>
      <c r="F120" s="2">
        <v>2</v>
      </c>
      <c r="G120" s="2">
        <v>0.15</v>
      </c>
      <c r="H120" s="3">
        <v>45605</v>
      </c>
      <c r="I120" s="2">
        <v>343.6</v>
      </c>
      <c r="J120" t="str">
        <f t="shared" si="1"/>
        <v>Nov-2024</v>
      </c>
    </row>
    <row r="121" spans="1:10" ht="16.5" customHeight="1" thickBot="1" x14ac:dyDescent="0.4">
      <c r="A121" s="1" t="s">
        <v>30</v>
      </c>
      <c r="B121" s="1" t="s">
        <v>59</v>
      </c>
      <c r="C121" s="1" t="s">
        <v>24</v>
      </c>
      <c r="D121" s="1" t="s">
        <v>27</v>
      </c>
      <c r="E121" s="2">
        <v>957.29</v>
      </c>
      <c r="F121" s="2">
        <v>4</v>
      </c>
      <c r="G121" s="2">
        <v>0.05</v>
      </c>
      <c r="H121" s="3">
        <v>45605</v>
      </c>
      <c r="I121" s="2">
        <v>318.3</v>
      </c>
      <c r="J121" t="str">
        <f t="shared" si="1"/>
        <v>Nov-2024</v>
      </c>
    </row>
    <row r="122" spans="1:10" ht="16.5" customHeight="1" thickBot="1" x14ac:dyDescent="0.4">
      <c r="A122" s="1" t="s">
        <v>28</v>
      </c>
      <c r="B122" s="1" t="s">
        <v>45</v>
      </c>
      <c r="C122" s="1" t="s">
        <v>24</v>
      </c>
      <c r="D122" s="1" t="s">
        <v>27</v>
      </c>
      <c r="E122" s="2">
        <v>1077.92</v>
      </c>
      <c r="F122" s="2">
        <v>3</v>
      </c>
      <c r="G122" s="2">
        <v>0.05</v>
      </c>
      <c r="H122" s="3">
        <v>45608</v>
      </c>
      <c r="I122" s="2">
        <v>358.41</v>
      </c>
      <c r="J122" t="str">
        <f t="shared" si="1"/>
        <v>Nov-2024</v>
      </c>
    </row>
    <row r="123" spans="1:10" ht="16.5" customHeight="1" thickBot="1" x14ac:dyDescent="0.4">
      <c r="A123" s="1" t="s">
        <v>52</v>
      </c>
      <c r="B123" s="1" t="s">
        <v>50</v>
      </c>
      <c r="C123" s="1" t="s">
        <v>20</v>
      </c>
      <c r="D123" s="1" t="s">
        <v>15</v>
      </c>
      <c r="E123" s="2">
        <v>1163.01</v>
      </c>
      <c r="F123" s="2">
        <v>5</v>
      </c>
      <c r="G123" s="2">
        <v>0</v>
      </c>
      <c r="H123" s="3">
        <v>45611</v>
      </c>
      <c r="I123" s="2">
        <v>581.5</v>
      </c>
      <c r="J123" t="str">
        <f t="shared" si="1"/>
        <v>Nov-2024</v>
      </c>
    </row>
    <row r="124" spans="1:10" ht="16.5" customHeight="1" thickBot="1" x14ac:dyDescent="0.4">
      <c r="A124" s="1" t="s">
        <v>54</v>
      </c>
      <c r="B124" s="1" t="s">
        <v>45</v>
      </c>
      <c r="C124" s="1" t="s">
        <v>18</v>
      </c>
      <c r="D124" s="1" t="s">
        <v>39</v>
      </c>
      <c r="E124" s="2">
        <v>1014.56</v>
      </c>
      <c r="F124" s="2">
        <v>10</v>
      </c>
      <c r="G124" s="2">
        <v>0.1</v>
      </c>
      <c r="H124" s="3">
        <v>45612</v>
      </c>
      <c r="I124" s="2">
        <v>410.9</v>
      </c>
      <c r="J124" t="str">
        <f t="shared" si="1"/>
        <v>Nov-2024</v>
      </c>
    </row>
    <row r="125" spans="1:10" ht="16.5" customHeight="1" thickBot="1" x14ac:dyDescent="0.4">
      <c r="A125" s="1" t="s">
        <v>9</v>
      </c>
      <c r="B125" s="1" t="s">
        <v>17</v>
      </c>
      <c r="C125" s="1" t="s">
        <v>20</v>
      </c>
      <c r="D125" s="1" t="s">
        <v>21</v>
      </c>
      <c r="E125" s="2">
        <v>718.04</v>
      </c>
      <c r="F125" s="2">
        <v>14</v>
      </c>
      <c r="G125" s="2">
        <v>0</v>
      </c>
      <c r="H125" s="3">
        <v>45613</v>
      </c>
      <c r="I125" s="2">
        <v>179.51</v>
      </c>
      <c r="J125" t="str">
        <f t="shared" si="1"/>
        <v>Nov-2024</v>
      </c>
    </row>
    <row r="126" spans="1:10" ht="16.5" customHeight="1" thickBot="1" x14ac:dyDescent="0.4">
      <c r="A126" s="1" t="s">
        <v>72</v>
      </c>
      <c r="B126" s="1" t="s">
        <v>17</v>
      </c>
      <c r="C126" s="1" t="s">
        <v>34</v>
      </c>
      <c r="D126" s="1" t="s">
        <v>15</v>
      </c>
      <c r="E126" s="2">
        <v>1277.8499999999999</v>
      </c>
      <c r="F126" s="2">
        <v>18</v>
      </c>
      <c r="G126" s="2">
        <v>0.2</v>
      </c>
      <c r="H126" s="3">
        <v>45613</v>
      </c>
      <c r="I126" s="2">
        <v>511.14</v>
      </c>
      <c r="J126" t="str">
        <f t="shared" si="1"/>
        <v>Nov-2024</v>
      </c>
    </row>
    <row r="127" spans="1:10" ht="16.5" customHeight="1" thickBot="1" x14ac:dyDescent="0.4">
      <c r="A127" s="1" t="s">
        <v>70</v>
      </c>
      <c r="B127" s="1" t="s">
        <v>23</v>
      </c>
      <c r="C127" s="1" t="s">
        <v>24</v>
      </c>
      <c r="D127" s="1" t="s">
        <v>21</v>
      </c>
      <c r="E127" s="2">
        <v>706.73</v>
      </c>
      <c r="F127" s="2">
        <v>1</v>
      </c>
      <c r="G127" s="2">
        <v>0.15</v>
      </c>
      <c r="H127" s="3">
        <v>45613</v>
      </c>
      <c r="I127" s="2">
        <v>150.18</v>
      </c>
      <c r="J127" t="str">
        <f t="shared" si="1"/>
        <v>Nov-2024</v>
      </c>
    </row>
    <row r="128" spans="1:10" ht="16.5" customHeight="1" thickBot="1" x14ac:dyDescent="0.4">
      <c r="A128" s="1" t="s">
        <v>65</v>
      </c>
      <c r="B128" s="1" t="s">
        <v>50</v>
      </c>
      <c r="C128" s="1" t="s">
        <v>18</v>
      </c>
      <c r="D128" s="1" t="s">
        <v>21</v>
      </c>
      <c r="E128" s="2">
        <v>1410.59</v>
      </c>
      <c r="F128" s="2">
        <v>15</v>
      </c>
      <c r="G128" s="2">
        <v>0</v>
      </c>
      <c r="H128" s="3">
        <v>45615</v>
      </c>
      <c r="I128" s="2">
        <v>352.65</v>
      </c>
      <c r="J128" t="str">
        <f t="shared" si="1"/>
        <v>Nov-2024</v>
      </c>
    </row>
    <row r="129" spans="1:10" ht="16.5" customHeight="1" thickBot="1" x14ac:dyDescent="0.4">
      <c r="A129" s="1" t="s">
        <v>32</v>
      </c>
      <c r="B129" s="1" t="s">
        <v>61</v>
      </c>
      <c r="C129" s="1" t="s">
        <v>20</v>
      </c>
      <c r="D129" s="1" t="s">
        <v>27</v>
      </c>
      <c r="E129" s="2">
        <v>1350.33</v>
      </c>
      <c r="F129" s="2">
        <v>10</v>
      </c>
      <c r="G129" s="2">
        <v>0</v>
      </c>
      <c r="H129" s="3">
        <v>45615</v>
      </c>
      <c r="I129" s="2">
        <v>472.62</v>
      </c>
      <c r="J129" t="str">
        <f t="shared" si="1"/>
        <v>Nov-2024</v>
      </c>
    </row>
    <row r="130" spans="1:10" ht="16.5" customHeight="1" thickBot="1" x14ac:dyDescent="0.4">
      <c r="A130" s="1" t="s">
        <v>41</v>
      </c>
      <c r="B130" s="1" t="s">
        <v>45</v>
      </c>
      <c r="C130" s="1" t="s">
        <v>18</v>
      </c>
      <c r="D130" s="1" t="s">
        <v>21</v>
      </c>
      <c r="E130" s="2">
        <v>919.18</v>
      </c>
      <c r="F130" s="2">
        <v>4</v>
      </c>
      <c r="G130" s="2">
        <v>0.15</v>
      </c>
      <c r="H130" s="3">
        <v>45615</v>
      </c>
      <c r="I130" s="2">
        <v>195.33</v>
      </c>
      <c r="J130" t="str">
        <f t="shared" si="1"/>
        <v>Nov-2024</v>
      </c>
    </row>
    <row r="131" spans="1:10" ht="16.5" customHeight="1" thickBot="1" x14ac:dyDescent="0.4">
      <c r="A131" s="1" t="s">
        <v>74</v>
      </c>
      <c r="B131" s="1" t="s">
        <v>23</v>
      </c>
      <c r="C131" s="1" t="s">
        <v>11</v>
      </c>
      <c r="D131" s="1" t="s">
        <v>21</v>
      </c>
      <c r="E131" s="2">
        <v>258.51</v>
      </c>
      <c r="F131" s="2">
        <v>19</v>
      </c>
      <c r="G131" s="2">
        <v>0</v>
      </c>
      <c r="H131" s="3">
        <v>45616</v>
      </c>
      <c r="I131" s="2">
        <v>64.63</v>
      </c>
      <c r="J131" t="str">
        <f t="shared" ref="J131:J194" si="2">TEXT(H131,"mmm-yyyy")</f>
        <v>Nov-2024</v>
      </c>
    </row>
    <row r="132" spans="1:10" ht="16.5" customHeight="1" thickBot="1" x14ac:dyDescent="0.4">
      <c r="A132" s="1" t="s">
        <v>63</v>
      </c>
      <c r="B132" s="1" t="s">
        <v>61</v>
      </c>
      <c r="C132" s="1" t="s">
        <v>18</v>
      </c>
      <c r="D132" s="1" t="s">
        <v>12</v>
      </c>
      <c r="E132" s="2">
        <v>1213.48</v>
      </c>
      <c r="F132" s="2">
        <v>5</v>
      </c>
      <c r="G132" s="2">
        <v>0.05</v>
      </c>
      <c r="H132" s="3">
        <v>45616</v>
      </c>
      <c r="I132" s="2">
        <v>461.12</v>
      </c>
      <c r="J132" t="str">
        <f t="shared" si="2"/>
        <v>Nov-2024</v>
      </c>
    </row>
    <row r="133" spans="1:10" ht="16.5" customHeight="1" thickBot="1" x14ac:dyDescent="0.4">
      <c r="A133" s="1" t="s">
        <v>57</v>
      </c>
      <c r="B133" s="1" t="s">
        <v>38</v>
      </c>
      <c r="C133" s="1" t="s">
        <v>34</v>
      </c>
      <c r="D133" s="1" t="s">
        <v>12</v>
      </c>
      <c r="E133" s="2">
        <v>1150.28</v>
      </c>
      <c r="F133" s="2">
        <v>8</v>
      </c>
      <c r="G133" s="2">
        <v>0.05</v>
      </c>
      <c r="H133" s="3">
        <v>45622</v>
      </c>
      <c r="I133" s="2">
        <v>437.11</v>
      </c>
      <c r="J133" t="str">
        <f t="shared" si="2"/>
        <v>Nov-2024</v>
      </c>
    </row>
    <row r="134" spans="1:10" ht="16.5" customHeight="1" thickBot="1" x14ac:dyDescent="0.4">
      <c r="A134" s="1" t="s">
        <v>37</v>
      </c>
      <c r="B134" s="1" t="s">
        <v>71</v>
      </c>
      <c r="C134" s="1" t="s">
        <v>20</v>
      </c>
      <c r="D134" s="1" t="s">
        <v>27</v>
      </c>
      <c r="E134" s="2">
        <v>853.86</v>
      </c>
      <c r="F134" s="2">
        <v>8</v>
      </c>
      <c r="G134" s="2">
        <v>0.1</v>
      </c>
      <c r="H134" s="3">
        <v>45622</v>
      </c>
      <c r="I134" s="2">
        <v>268.97000000000003</v>
      </c>
      <c r="J134" t="str">
        <f t="shared" si="2"/>
        <v>Nov-2024</v>
      </c>
    </row>
    <row r="135" spans="1:10" ht="16.5" customHeight="1" thickBot="1" x14ac:dyDescent="0.4">
      <c r="A135" s="1" t="s">
        <v>75</v>
      </c>
      <c r="B135" s="1" t="s">
        <v>45</v>
      </c>
      <c r="C135" s="1" t="s">
        <v>20</v>
      </c>
      <c r="D135" s="1" t="s">
        <v>21</v>
      </c>
      <c r="E135" s="2">
        <v>1061.04</v>
      </c>
      <c r="F135" s="2">
        <v>1</v>
      </c>
      <c r="G135" s="2">
        <v>0</v>
      </c>
      <c r="H135" s="3">
        <v>45624</v>
      </c>
      <c r="I135" s="2">
        <v>265.26</v>
      </c>
      <c r="J135" t="str">
        <f t="shared" si="2"/>
        <v>Nov-2024</v>
      </c>
    </row>
    <row r="136" spans="1:10" ht="16.5" customHeight="1" thickBot="1" x14ac:dyDescent="0.4">
      <c r="A136" s="1" t="s">
        <v>28</v>
      </c>
      <c r="B136" s="1" t="s">
        <v>43</v>
      </c>
      <c r="C136" s="1" t="s">
        <v>11</v>
      </c>
      <c r="D136" s="1" t="s">
        <v>21</v>
      </c>
      <c r="E136" s="2">
        <v>894.55</v>
      </c>
      <c r="F136" s="2">
        <v>19</v>
      </c>
      <c r="G136" s="2">
        <v>0.2</v>
      </c>
      <c r="H136" s="3">
        <v>45625</v>
      </c>
      <c r="I136" s="2">
        <v>178.91</v>
      </c>
      <c r="J136" t="str">
        <f t="shared" si="2"/>
        <v>Nov-2024</v>
      </c>
    </row>
    <row r="137" spans="1:10" ht="16.5" customHeight="1" thickBot="1" x14ac:dyDescent="0.4">
      <c r="A137" s="1" t="s">
        <v>25</v>
      </c>
      <c r="B137" s="1" t="s">
        <v>38</v>
      </c>
      <c r="C137" s="1" t="s">
        <v>24</v>
      </c>
      <c r="D137" s="1" t="s">
        <v>39</v>
      </c>
      <c r="E137" s="2">
        <v>833.91</v>
      </c>
      <c r="F137" s="2">
        <v>3</v>
      </c>
      <c r="G137" s="2">
        <v>0.05</v>
      </c>
      <c r="H137" s="3">
        <v>45626</v>
      </c>
      <c r="I137" s="2">
        <v>356.5</v>
      </c>
      <c r="J137" t="str">
        <f t="shared" si="2"/>
        <v>Nov-2024</v>
      </c>
    </row>
    <row r="138" spans="1:10" ht="16.5" customHeight="1" thickBot="1" x14ac:dyDescent="0.4">
      <c r="A138" s="1" t="s">
        <v>58</v>
      </c>
      <c r="B138" s="1" t="s">
        <v>71</v>
      </c>
      <c r="C138" s="1" t="s">
        <v>11</v>
      </c>
      <c r="D138" s="1" t="s">
        <v>27</v>
      </c>
      <c r="E138" s="2">
        <v>820.19</v>
      </c>
      <c r="F138" s="2">
        <v>4</v>
      </c>
      <c r="G138" s="2">
        <v>0.2</v>
      </c>
      <c r="H138" s="3">
        <v>45630</v>
      </c>
      <c r="I138" s="2">
        <v>229.65</v>
      </c>
      <c r="J138" t="str">
        <f t="shared" si="2"/>
        <v>Dec-2024</v>
      </c>
    </row>
    <row r="139" spans="1:10" ht="16.5" customHeight="1" thickBot="1" x14ac:dyDescent="0.4">
      <c r="A139" s="1" t="s">
        <v>58</v>
      </c>
      <c r="B139" s="1" t="s">
        <v>38</v>
      </c>
      <c r="C139" s="1" t="s">
        <v>34</v>
      </c>
      <c r="D139" s="1" t="s">
        <v>21</v>
      </c>
      <c r="E139" s="2">
        <v>511.74</v>
      </c>
      <c r="F139" s="2">
        <v>8</v>
      </c>
      <c r="G139" s="2">
        <v>0.05</v>
      </c>
      <c r="H139" s="3">
        <v>45631</v>
      </c>
      <c r="I139" s="2">
        <v>121.54</v>
      </c>
      <c r="J139" t="str">
        <f t="shared" si="2"/>
        <v>Dec-2024</v>
      </c>
    </row>
    <row r="140" spans="1:10" ht="16.5" customHeight="1" thickBot="1" x14ac:dyDescent="0.4">
      <c r="A140" s="1" t="s">
        <v>65</v>
      </c>
      <c r="B140" s="1" t="s">
        <v>61</v>
      </c>
      <c r="C140" s="1" t="s">
        <v>20</v>
      </c>
      <c r="D140" s="1" t="s">
        <v>27</v>
      </c>
      <c r="E140" s="2">
        <v>806.03</v>
      </c>
      <c r="F140" s="2">
        <v>19</v>
      </c>
      <c r="G140" s="2">
        <v>0.05</v>
      </c>
      <c r="H140" s="3">
        <v>45638</v>
      </c>
      <c r="I140" s="2">
        <v>268</v>
      </c>
      <c r="J140" t="str">
        <f t="shared" si="2"/>
        <v>Dec-2024</v>
      </c>
    </row>
    <row r="141" spans="1:10" ht="16.5" customHeight="1" thickBot="1" x14ac:dyDescent="0.4">
      <c r="A141" s="1" t="s">
        <v>28</v>
      </c>
      <c r="B141" s="1" t="s">
        <v>26</v>
      </c>
      <c r="C141" s="1" t="s">
        <v>34</v>
      </c>
      <c r="D141" s="1" t="s">
        <v>27</v>
      </c>
      <c r="E141" s="2">
        <v>1432.47</v>
      </c>
      <c r="F141" s="2">
        <v>16</v>
      </c>
      <c r="G141" s="2">
        <v>0.15</v>
      </c>
      <c r="H141" s="3">
        <v>45640</v>
      </c>
      <c r="I141" s="2">
        <v>426.16</v>
      </c>
      <c r="J141" t="str">
        <f t="shared" si="2"/>
        <v>Dec-2024</v>
      </c>
    </row>
    <row r="142" spans="1:10" ht="16.5" customHeight="1" thickBot="1" x14ac:dyDescent="0.4">
      <c r="A142" s="1" t="s">
        <v>74</v>
      </c>
      <c r="B142" s="1" t="s">
        <v>29</v>
      </c>
      <c r="C142" s="1" t="s">
        <v>34</v>
      </c>
      <c r="D142" s="1" t="s">
        <v>21</v>
      </c>
      <c r="E142" s="2">
        <v>1488.58</v>
      </c>
      <c r="F142" s="2">
        <v>10</v>
      </c>
      <c r="G142" s="2">
        <v>0.15</v>
      </c>
      <c r="H142" s="3">
        <v>45640</v>
      </c>
      <c r="I142" s="2">
        <v>316.32</v>
      </c>
      <c r="J142" t="str">
        <f t="shared" si="2"/>
        <v>Dec-2024</v>
      </c>
    </row>
    <row r="143" spans="1:10" ht="16.5" customHeight="1" thickBot="1" x14ac:dyDescent="0.4">
      <c r="A143" s="1" t="s">
        <v>30</v>
      </c>
      <c r="B143" s="1" t="s">
        <v>66</v>
      </c>
      <c r="C143" s="1" t="s">
        <v>18</v>
      </c>
      <c r="D143" s="1" t="s">
        <v>12</v>
      </c>
      <c r="E143" s="2">
        <v>1231.26</v>
      </c>
      <c r="F143" s="2">
        <v>9</v>
      </c>
      <c r="G143" s="2">
        <v>0</v>
      </c>
      <c r="H143" s="3">
        <v>45646</v>
      </c>
      <c r="I143" s="2">
        <v>492.5</v>
      </c>
      <c r="J143" t="str">
        <f t="shared" si="2"/>
        <v>Dec-2024</v>
      </c>
    </row>
    <row r="144" spans="1:10" ht="16.5" customHeight="1" thickBot="1" x14ac:dyDescent="0.4">
      <c r="A144" s="1" t="s">
        <v>30</v>
      </c>
      <c r="B144" s="1" t="s">
        <v>43</v>
      </c>
      <c r="C144" s="1" t="s">
        <v>11</v>
      </c>
      <c r="D144" s="1" t="s">
        <v>21</v>
      </c>
      <c r="E144" s="2">
        <v>1161.67</v>
      </c>
      <c r="F144" s="2">
        <v>19</v>
      </c>
      <c r="G144" s="2">
        <v>0.2</v>
      </c>
      <c r="H144" s="3">
        <v>45647</v>
      </c>
      <c r="I144" s="2">
        <v>232.33</v>
      </c>
      <c r="J144" t="str">
        <f t="shared" si="2"/>
        <v>Dec-2024</v>
      </c>
    </row>
    <row r="145" spans="1:10" ht="16.5" customHeight="1" thickBot="1" x14ac:dyDescent="0.4">
      <c r="A145" s="1" t="s">
        <v>49</v>
      </c>
      <c r="B145" s="1" t="s">
        <v>45</v>
      </c>
      <c r="C145" s="1" t="s">
        <v>34</v>
      </c>
      <c r="D145" s="1" t="s">
        <v>39</v>
      </c>
      <c r="E145" s="2">
        <v>388.23</v>
      </c>
      <c r="F145" s="2">
        <v>16</v>
      </c>
      <c r="G145" s="2">
        <v>0.05</v>
      </c>
      <c r="H145" s="3">
        <v>45650</v>
      </c>
      <c r="I145" s="2">
        <v>165.97</v>
      </c>
      <c r="J145" t="str">
        <f t="shared" si="2"/>
        <v>Dec-2024</v>
      </c>
    </row>
    <row r="146" spans="1:10" ht="16.5" customHeight="1" thickBot="1" x14ac:dyDescent="0.4">
      <c r="A146" s="1" t="s">
        <v>72</v>
      </c>
      <c r="B146" s="1" t="s">
        <v>31</v>
      </c>
      <c r="C146" s="1" t="s">
        <v>24</v>
      </c>
      <c r="D146" s="1" t="s">
        <v>15</v>
      </c>
      <c r="E146" s="2">
        <v>1589.42</v>
      </c>
      <c r="F146" s="2">
        <v>6</v>
      </c>
      <c r="G146" s="2">
        <v>0.15</v>
      </c>
      <c r="H146" s="3">
        <v>45651</v>
      </c>
      <c r="I146" s="2">
        <v>675.5</v>
      </c>
      <c r="J146" t="str">
        <f t="shared" si="2"/>
        <v>Dec-2024</v>
      </c>
    </row>
    <row r="147" spans="1:10" ht="16.5" customHeight="1" thickBot="1" x14ac:dyDescent="0.4">
      <c r="A147" s="1" t="s">
        <v>28</v>
      </c>
      <c r="B147" s="1" t="s">
        <v>71</v>
      </c>
      <c r="C147" s="1" t="s">
        <v>24</v>
      </c>
      <c r="D147" s="1" t="s">
        <v>15</v>
      </c>
      <c r="E147" s="2">
        <v>336.66</v>
      </c>
      <c r="F147" s="2">
        <v>13</v>
      </c>
      <c r="G147" s="2">
        <v>0.2</v>
      </c>
      <c r="H147" s="3">
        <v>45651</v>
      </c>
      <c r="I147" s="2">
        <v>134.66</v>
      </c>
      <c r="J147" t="str">
        <f t="shared" si="2"/>
        <v>Dec-2024</v>
      </c>
    </row>
    <row r="148" spans="1:10" ht="16.5" customHeight="1" thickBot="1" x14ac:dyDescent="0.4">
      <c r="A148" s="1" t="s">
        <v>49</v>
      </c>
      <c r="B148" s="1" t="s">
        <v>23</v>
      </c>
      <c r="C148" s="1" t="s">
        <v>11</v>
      </c>
      <c r="D148" s="1" t="s">
        <v>12</v>
      </c>
      <c r="E148" s="2">
        <v>1353.79</v>
      </c>
      <c r="F148" s="2">
        <v>14</v>
      </c>
      <c r="G148" s="2">
        <v>0.1</v>
      </c>
      <c r="H148" s="3">
        <v>45656</v>
      </c>
      <c r="I148" s="2">
        <v>487.36</v>
      </c>
      <c r="J148" t="str">
        <f t="shared" si="2"/>
        <v>Dec-2024</v>
      </c>
    </row>
    <row r="149" spans="1:10" ht="16.5" customHeight="1" thickBot="1" x14ac:dyDescent="0.4">
      <c r="A149" s="1" t="s">
        <v>63</v>
      </c>
      <c r="B149" s="1" t="s">
        <v>69</v>
      </c>
      <c r="C149" s="1" t="s">
        <v>34</v>
      </c>
      <c r="D149" s="1" t="s">
        <v>15</v>
      </c>
      <c r="E149" s="2">
        <v>662.61</v>
      </c>
      <c r="F149" s="2">
        <v>11</v>
      </c>
      <c r="G149" s="2">
        <v>0.05</v>
      </c>
      <c r="H149" s="3">
        <v>45658</v>
      </c>
      <c r="I149" s="2">
        <v>314.74</v>
      </c>
      <c r="J149" t="str">
        <f t="shared" si="2"/>
        <v>Jan-2025</v>
      </c>
    </row>
    <row r="150" spans="1:10" ht="16.5" customHeight="1" thickBot="1" x14ac:dyDescent="0.4">
      <c r="A150" s="1" t="s">
        <v>52</v>
      </c>
      <c r="B150" s="1" t="s">
        <v>48</v>
      </c>
      <c r="C150" s="1" t="s">
        <v>24</v>
      </c>
      <c r="D150" s="1" t="s">
        <v>39</v>
      </c>
      <c r="E150" s="2">
        <v>309.42</v>
      </c>
      <c r="F150" s="2">
        <v>1</v>
      </c>
      <c r="G150" s="2">
        <v>0.2</v>
      </c>
      <c r="H150" s="3">
        <v>45658</v>
      </c>
      <c r="I150" s="2">
        <v>111.39</v>
      </c>
      <c r="J150" t="str">
        <f t="shared" si="2"/>
        <v>Jan-2025</v>
      </c>
    </row>
    <row r="151" spans="1:10" ht="16.5" customHeight="1" thickBot="1" x14ac:dyDescent="0.4">
      <c r="A151" s="1" t="s">
        <v>63</v>
      </c>
      <c r="B151" s="1" t="s">
        <v>29</v>
      </c>
      <c r="C151" s="1" t="s">
        <v>24</v>
      </c>
      <c r="D151" s="1" t="s">
        <v>12</v>
      </c>
      <c r="E151" s="2">
        <v>884.63</v>
      </c>
      <c r="F151" s="2">
        <v>18</v>
      </c>
      <c r="G151" s="2">
        <v>0.1</v>
      </c>
      <c r="H151" s="3">
        <v>45659</v>
      </c>
      <c r="I151" s="2">
        <v>318.47000000000003</v>
      </c>
      <c r="J151" t="str">
        <f t="shared" si="2"/>
        <v>Jan-2025</v>
      </c>
    </row>
    <row r="152" spans="1:10" ht="16.5" customHeight="1" thickBot="1" x14ac:dyDescent="0.4">
      <c r="A152" s="1" t="s">
        <v>52</v>
      </c>
      <c r="B152" s="1" t="s">
        <v>23</v>
      </c>
      <c r="C152" s="1" t="s">
        <v>34</v>
      </c>
      <c r="D152" s="1" t="s">
        <v>39</v>
      </c>
      <c r="E152" s="2">
        <v>745.05</v>
      </c>
      <c r="F152" s="2">
        <v>10</v>
      </c>
      <c r="G152" s="2">
        <v>0.1</v>
      </c>
      <c r="H152" s="3">
        <v>45660</v>
      </c>
      <c r="I152" s="2">
        <v>301.75</v>
      </c>
      <c r="J152" t="str">
        <f t="shared" si="2"/>
        <v>Jan-2025</v>
      </c>
    </row>
    <row r="153" spans="1:10" ht="16.5" customHeight="1" thickBot="1" x14ac:dyDescent="0.4">
      <c r="A153" s="1" t="s">
        <v>60</v>
      </c>
      <c r="B153" s="1" t="s">
        <v>17</v>
      </c>
      <c r="C153" s="1" t="s">
        <v>20</v>
      </c>
      <c r="D153" s="1" t="s">
        <v>15</v>
      </c>
      <c r="E153" s="2">
        <v>870.23</v>
      </c>
      <c r="F153" s="2">
        <v>5</v>
      </c>
      <c r="G153" s="2">
        <v>0.05</v>
      </c>
      <c r="H153" s="3">
        <v>45660</v>
      </c>
      <c r="I153" s="2">
        <v>413.36</v>
      </c>
      <c r="J153" t="str">
        <f t="shared" si="2"/>
        <v>Jan-2025</v>
      </c>
    </row>
    <row r="154" spans="1:10" ht="16.5" customHeight="1" thickBot="1" x14ac:dyDescent="0.4">
      <c r="A154" s="1" t="s">
        <v>35</v>
      </c>
      <c r="B154" s="1" t="s">
        <v>29</v>
      </c>
      <c r="C154" s="1" t="s">
        <v>11</v>
      </c>
      <c r="D154" s="1" t="s">
        <v>27</v>
      </c>
      <c r="E154" s="2">
        <v>862.19</v>
      </c>
      <c r="F154" s="2">
        <v>18</v>
      </c>
      <c r="G154" s="2">
        <v>0.05</v>
      </c>
      <c r="H154" s="3">
        <v>45663</v>
      </c>
      <c r="I154" s="2">
        <v>286.68</v>
      </c>
      <c r="J154" t="str">
        <f t="shared" si="2"/>
        <v>Jan-2025</v>
      </c>
    </row>
    <row r="155" spans="1:10" ht="16.5" customHeight="1" thickBot="1" x14ac:dyDescent="0.4">
      <c r="A155" s="1" t="s">
        <v>73</v>
      </c>
      <c r="B155" s="1" t="s">
        <v>59</v>
      </c>
      <c r="C155" s="1" t="s">
        <v>24</v>
      </c>
      <c r="D155" s="1" t="s">
        <v>15</v>
      </c>
      <c r="E155" s="2">
        <v>1171.18</v>
      </c>
      <c r="F155" s="2">
        <v>19</v>
      </c>
      <c r="G155" s="2">
        <v>0.05</v>
      </c>
      <c r="H155" s="3">
        <v>45667</v>
      </c>
      <c r="I155" s="2">
        <v>556.30999999999995</v>
      </c>
      <c r="J155" t="str">
        <f t="shared" si="2"/>
        <v>Jan-2025</v>
      </c>
    </row>
    <row r="156" spans="1:10" ht="16.5" customHeight="1" thickBot="1" x14ac:dyDescent="0.4">
      <c r="A156" s="1" t="s">
        <v>58</v>
      </c>
      <c r="B156" s="1" t="s">
        <v>14</v>
      </c>
      <c r="C156" s="1" t="s">
        <v>20</v>
      </c>
      <c r="D156" s="1" t="s">
        <v>27</v>
      </c>
      <c r="E156" s="2">
        <v>1054.56</v>
      </c>
      <c r="F156" s="2">
        <v>11</v>
      </c>
      <c r="G156" s="2">
        <v>0.1</v>
      </c>
      <c r="H156" s="3">
        <v>45669</v>
      </c>
      <c r="I156" s="2">
        <v>332.19</v>
      </c>
      <c r="J156" t="str">
        <f t="shared" si="2"/>
        <v>Jan-2025</v>
      </c>
    </row>
    <row r="157" spans="1:10" ht="16.5" customHeight="1" thickBot="1" x14ac:dyDescent="0.4">
      <c r="A157" s="1" t="s">
        <v>58</v>
      </c>
      <c r="B157" s="1" t="s">
        <v>23</v>
      </c>
      <c r="C157" s="1" t="s">
        <v>24</v>
      </c>
      <c r="D157" s="1" t="s">
        <v>21</v>
      </c>
      <c r="E157" s="2">
        <v>1681.21</v>
      </c>
      <c r="F157" s="2">
        <v>5</v>
      </c>
      <c r="G157" s="2">
        <v>0.2</v>
      </c>
      <c r="H157" s="3">
        <v>45670</v>
      </c>
      <c r="I157" s="2">
        <v>336.24</v>
      </c>
      <c r="J157" t="str">
        <f t="shared" si="2"/>
        <v>Jan-2025</v>
      </c>
    </row>
    <row r="158" spans="1:10" ht="16.5" customHeight="1" thickBot="1" x14ac:dyDescent="0.4">
      <c r="A158" s="1" t="s">
        <v>58</v>
      </c>
      <c r="B158" s="1" t="s">
        <v>36</v>
      </c>
      <c r="C158" s="1" t="s">
        <v>11</v>
      </c>
      <c r="D158" s="1" t="s">
        <v>15</v>
      </c>
      <c r="E158" s="2">
        <v>379.77</v>
      </c>
      <c r="F158" s="2">
        <v>9</v>
      </c>
      <c r="G158" s="2">
        <v>0.05</v>
      </c>
      <c r="H158" s="3">
        <v>45673</v>
      </c>
      <c r="I158" s="2">
        <v>180.39</v>
      </c>
      <c r="J158" t="str">
        <f t="shared" si="2"/>
        <v>Jan-2025</v>
      </c>
    </row>
    <row r="159" spans="1:10" ht="16.5" customHeight="1" thickBot="1" x14ac:dyDescent="0.4">
      <c r="A159" s="1" t="s">
        <v>44</v>
      </c>
      <c r="B159" s="1" t="s">
        <v>45</v>
      </c>
      <c r="C159" s="1" t="s">
        <v>34</v>
      </c>
      <c r="D159" s="1" t="s">
        <v>15</v>
      </c>
      <c r="E159" s="2">
        <v>1076.33</v>
      </c>
      <c r="F159" s="2">
        <v>2</v>
      </c>
      <c r="G159" s="2">
        <v>0.1</v>
      </c>
      <c r="H159" s="3">
        <v>45674</v>
      </c>
      <c r="I159" s="2">
        <v>484.35</v>
      </c>
      <c r="J159" t="str">
        <f t="shared" si="2"/>
        <v>Jan-2025</v>
      </c>
    </row>
    <row r="160" spans="1:10" ht="16.5" customHeight="1" thickBot="1" x14ac:dyDescent="0.4">
      <c r="A160" s="1" t="s">
        <v>44</v>
      </c>
      <c r="B160" s="1" t="s">
        <v>31</v>
      </c>
      <c r="C160" s="1" t="s">
        <v>34</v>
      </c>
      <c r="D160" s="1" t="s">
        <v>39</v>
      </c>
      <c r="E160" s="2">
        <v>1250.71</v>
      </c>
      <c r="F160" s="2">
        <v>7</v>
      </c>
      <c r="G160" s="2">
        <v>0</v>
      </c>
      <c r="H160" s="3">
        <v>45674</v>
      </c>
      <c r="I160" s="2">
        <v>562.82000000000005</v>
      </c>
      <c r="J160" t="str">
        <f t="shared" si="2"/>
        <v>Jan-2025</v>
      </c>
    </row>
    <row r="161" spans="1:10" ht="16.5" customHeight="1" thickBot="1" x14ac:dyDescent="0.4">
      <c r="A161" s="1" t="s">
        <v>40</v>
      </c>
      <c r="B161" s="1" t="s">
        <v>17</v>
      </c>
      <c r="C161" s="1" t="s">
        <v>20</v>
      </c>
      <c r="D161" s="1" t="s">
        <v>15</v>
      </c>
      <c r="E161" s="2">
        <v>1118.3399999999999</v>
      </c>
      <c r="F161" s="2">
        <v>6</v>
      </c>
      <c r="G161" s="2">
        <v>0.2</v>
      </c>
      <c r="H161" s="3">
        <v>45674</v>
      </c>
      <c r="I161" s="2">
        <v>447.34</v>
      </c>
      <c r="J161" t="str">
        <f t="shared" si="2"/>
        <v>Jan-2025</v>
      </c>
    </row>
    <row r="162" spans="1:10" ht="16.5" customHeight="1" thickBot="1" x14ac:dyDescent="0.4">
      <c r="A162" s="1" t="s">
        <v>70</v>
      </c>
      <c r="B162" s="1" t="s">
        <v>53</v>
      </c>
      <c r="C162" s="1" t="s">
        <v>24</v>
      </c>
      <c r="D162" s="1" t="s">
        <v>15</v>
      </c>
      <c r="E162" s="2">
        <v>1622.62</v>
      </c>
      <c r="F162" s="2">
        <v>12</v>
      </c>
      <c r="G162" s="2">
        <v>0.2</v>
      </c>
      <c r="H162" s="3">
        <v>45677</v>
      </c>
      <c r="I162" s="2">
        <v>649.04999999999995</v>
      </c>
      <c r="J162" t="str">
        <f t="shared" si="2"/>
        <v>Jan-2025</v>
      </c>
    </row>
    <row r="163" spans="1:10" ht="16.5" customHeight="1" thickBot="1" x14ac:dyDescent="0.4">
      <c r="A163" s="1" t="s">
        <v>75</v>
      </c>
      <c r="B163" s="1" t="s">
        <v>48</v>
      </c>
      <c r="C163" s="1" t="s">
        <v>24</v>
      </c>
      <c r="D163" s="1" t="s">
        <v>12</v>
      </c>
      <c r="E163" s="2">
        <v>640.64</v>
      </c>
      <c r="F163" s="2">
        <v>11</v>
      </c>
      <c r="G163" s="2">
        <v>0.2</v>
      </c>
      <c r="H163" s="3">
        <v>45678</v>
      </c>
      <c r="I163" s="2">
        <v>205</v>
      </c>
      <c r="J163" t="str">
        <f t="shared" si="2"/>
        <v>Jan-2025</v>
      </c>
    </row>
    <row r="164" spans="1:10" ht="16.5" customHeight="1" thickBot="1" x14ac:dyDescent="0.4">
      <c r="A164" s="1" t="s">
        <v>22</v>
      </c>
      <c r="B164" s="1" t="s">
        <v>43</v>
      </c>
      <c r="C164" s="1" t="s">
        <v>11</v>
      </c>
      <c r="D164" s="1" t="s">
        <v>15</v>
      </c>
      <c r="E164" s="2">
        <v>585.16</v>
      </c>
      <c r="F164" s="2">
        <v>17</v>
      </c>
      <c r="G164" s="2">
        <v>0.1</v>
      </c>
      <c r="H164" s="3">
        <v>45684</v>
      </c>
      <c r="I164" s="2">
        <v>263.32</v>
      </c>
      <c r="J164" t="str">
        <f t="shared" si="2"/>
        <v>Jan-2025</v>
      </c>
    </row>
    <row r="165" spans="1:10" ht="16.5" customHeight="1" thickBot="1" x14ac:dyDescent="0.4">
      <c r="A165" s="1" t="s">
        <v>22</v>
      </c>
      <c r="B165" s="1" t="s">
        <v>31</v>
      </c>
      <c r="C165" s="1" t="s">
        <v>18</v>
      </c>
      <c r="D165" s="1" t="s">
        <v>15</v>
      </c>
      <c r="E165" s="2">
        <v>1109.98</v>
      </c>
      <c r="F165" s="2">
        <v>5</v>
      </c>
      <c r="G165" s="2">
        <v>0.2</v>
      </c>
      <c r="H165" s="3">
        <v>45690</v>
      </c>
      <c r="I165" s="2">
        <v>443.99</v>
      </c>
      <c r="J165" t="str">
        <f t="shared" si="2"/>
        <v>Feb-2025</v>
      </c>
    </row>
    <row r="166" spans="1:10" ht="16.5" customHeight="1" thickBot="1" x14ac:dyDescent="0.4">
      <c r="A166" s="1" t="s">
        <v>58</v>
      </c>
      <c r="B166" s="1" t="s">
        <v>45</v>
      </c>
      <c r="C166" s="1" t="s">
        <v>18</v>
      </c>
      <c r="D166" s="1" t="s">
        <v>12</v>
      </c>
      <c r="E166" s="2">
        <v>1098.08</v>
      </c>
      <c r="F166" s="2">
        <v>9</v>
      </c>
      <c r="G166" s="2">
        <v>0.1</v>
      </c>
      <c r="H166" s="3">
        <v>45692</v>
      </c>
      <c r="I166" s="2">
        <v>395.31</v>
      </c>
      <c r="J166" t="str">
        <f t="shared" si="2"/>
        <v>Feb-2025</v>
      </c>
    </row>
    <row r="167" spans="1:10" ht="16.5" customHeight="1" thickBot="1" x14ac:dyDescent="0.4">
      <c r="A167" s="1" t="s">
        <v>65</v>
      </c>
      <c r="B167" s="1" t="s">
        <v>48</v>
      </c>
      <c r="C167" s="1" t="s">
        <v>11</v>
      </c>
      <c r="D167" s="1" t="s">
        <v>39</v>
      </c>
      <c r="E167" s="2">
        <v>827.25</v>
      </c>
      <c r="F167" s="2">
        <v>7</v>
      </c>
      <c r="G167" s="2">
        <v>0.1</v>
      </c>
      <c r="H167" s="3">
        <v>45693</v>
      </c>
      <c r="I167" s="2">
        <v>335.04</v>
      </c>
      <c r="J167" t="str">
        <f t="shared" si="2"/>
        <v>Feb-2025</v>
      </c>
    </row>
    <row r="168" spans="1:10" ht="16.5" customHeight="1" thickBot="1" x14ac:dyDescent="0.4">
      <c r="A168" s="1" t="s">
        <v>70</v>
      </c>
      <c r="B168" s="1" t="s">
        <v>29</v>
      </c>
      <c r="C168" s="1" t="s">
        <v>34</v>
      </c>
      <c r="D168" s="1" t="s">
        <v>15</v>
      </c>
      <c r="E168" s="2">
        <v>741.88</v>
      </c>
      <c r="F168" s="2">
        <v>16</v>
      </c>
      <c r="G168" s="2">
        <v>0.1</v>
      </c>
      <c r="H168" s="3">
        <v>45695</v>
      </c>
      <c r="I168" s="2">
        <v>333.85</v>
      </c>
      <c r="J168" t="str">
        <f t="shared" si="2"/>
        <v>Feb-2025</v>
      </c>
    </row>
    <row r="169" spans="1:10" ht="16.5" customHeight="1" thickBot="1" x14ac:dyDescent="0.4">
      <c r="A169" s="1" t="s">
        <v>72</v>
      </c>
      <c r="B169" s="1" t="s">
        <v>10</v>
      </c>
      <c r="C169" s="1" t="s">
        <v>18</v>
      </c>
      <c r="D169" s="1" t="s">
        <v>39</v>
      </c>
      <c r="E169" s="2">
        <v>1311.26</v>
      </c>
      <c r="F169" s="2">
        <v>6</v>
      </c>
      <c r="G169" s="2">
        <v>0.1</v>
      </c>
      <c r="H169" s="3">
        <v>45698</v>
      </c>
      <c r="I169" s="2">
        <v>531.05999999999995</v>
      </c>
      <c r="J169" t="str">
        <f t="shared" si="2"/>
        <v>Feb-2025</v>
      </c>
    </row>
    <row r="170" spans="1:10" ht="16.5" customHeight="1" thickBot="1" x14ac:dyDescent="0.4">
      <c r="A170" s="1" t="s">
        <v>72</v>
      </c>
      <c r="B170" s="1" t="s">
        <v>31</v>
      </c>
      <c r="C170" s="1" t="s">
        <v>20</v>
      </c>
      <c r="D170" s="1" t="s">
        <v>39</v>
      </c>
      <c r="E170" s="2">
        <v>573.32000000000005</v>
      </c>
      <c r="F170" s="2">
        <v>19</v>
      </c>
      <c r="G170" s="2">
        <v>0.1</v>
      </c>
      <c r="H170" s="3">
        <v>45703</v>
      </c>
      <c r="I170" s="2">
        <v>232.19</v>
      </c>
      <c r="J170" t="str">
        <f t="shared" si="2"/>
        <v>Feb-2025</v>
      </c>
    </row>
    <row r="171" spans="1:10" ht="16.5" customHeight="1" thickBot="1" x14ac:dyDescent="0.4">
      <c r="A171" s="1" t="s">
        <v>52</v>
      </c>
      <c r="B171" s="1" t="s">
        <v>23</v>
      </c>
      <c r="C171" s="1" t="s">
        <v>11</v>
      </c>
      <c r="D171" s="1" t="s">
        <v>21</v>
      </c>
      <c r="E171" s="2">
        <v>1115.22</v>
      </c>
      <c r="F171" s="2">
        <v>14</v>
      </c>
      <c r="G171" s="2">
        <v>0.2</v>
      </c>
      <c r="H171" s="3">
        <v>45705</v>
      </c>
      <c r="I171" s="2">
        <v>223.04</v>
      </c>
      <c r="J171" t="str">
        <f t="shared" si="2"/>
        <v>Feb-2025</v>
      </c>
    </row>
    <row r="172" spans="1:10" ht="16.5" customHeight="1" thickBot="1" x14ac:dyDescent="0.4">
      <c r="A172" s="1" t="s">
        <v>13</v>
      </c>
      <c r="B172" s="1" t="s">
        <v>45</v>
      </c>
      <c r="C172" s="1" t="s">
        <v>24</v>
      </c>
      <c r="D172" s="1" t="s">
        <v>15</v>
      </c>
      <c r="E172" s="2">
        <v>845.84</v>
      </c>
      <c r="F172" s="2">
        <v>4</v>
      </c>
      <c r="G172" s="2">
        <v>0</v>
      </c>
      <c r="H172" s="3">
        <v>45707</v>
      </c>
      <c r="I172" s="2">
        <v>422.92</v>
      </c>
      <c r="J172" t="str">
        <f t="shared" si="2"/>
        <v>Feb-2025</v>
      </c>
    </row>
    <row r="173" spans="1:10" ht="16.5" customHeight="1" thickBot="1" x14ac:dyDescent="0.4">
      <c r="A173" s="1" t="s">
        <v>30</v>
      </c>
      <c r="B173" s="1" t="s">
        <v>55</v>
      </c>
      <c r="C173" s="1" t="s">
        <v>11</v>
      </c>
      <c r="D173" s="1" t="s">
        <v>21</v>
      </c>
      <c r="E173" s="2">
        <v>1029.8</v>
      </c>
      <c r="F173" s="2">
        <v>3</v>
      </c>
      <c r="G173" s="2">
        <v>0</v>
      </c>
      <c r="H173" s="3">
        <v>45708</v>
      </c>
      <c r="I173" s="2">
        <v>257.45</v>
      </c>
      <c r="J173" t="str">
        <f t="shared" si="2"/>
        <v>Feb-2025</v>
      </c>
    </row>
    <row r="174" spans="1:10" ht="16.5" customHeight="1" thickBot="1" x14ac:dyDescent="0.4">
      <c r="A174" s="1" t="s">
        <v>32</v>
      </c>
      <c r="B174" s="1" t="s">
        <v>31</v>
      </c>
      <c r="C174" s="1" t="s">
        <v>24</v>
      </c>
      <c r="D174" s="1" t="s">
        <v>12</v>
      </c>
      <c r="E174" s="2">
        <v>1189.83</v>
      </c>
      <c r="F174" s="2">
        <v>2</v>
      </c>
      <c r="G174" s="2">
        <v>0.2</v>
      </c>
      <c r="H174" s="3">
        <v>45709</v>
      </c>
      <c r="I174" s="2">
        <v>380.75</v>
      </c>
      <c r="J174" t="str">
        <f t="shared" si="2"/>
        <v>Feb-2025</v>
      </c>
    </row>
    <row r="175" spans="1:10" ht="16.5" customHeight="1" thickBot="1" x14ac:dyDescent="0.4">
      <c r="A175" s="1" t="s">
        <v>67</v>
      </c>
      <c r="B175" s="1" t="s">
        <v>43</v>
      </c>
      <c r="C175" s="1" t="s">
        <v>20</v>
      </c>
      <c r="D175" s="1" t="s">
        <v>12</v>
      </c>
      <c r="E175" s="2">
        <v>704.28</v>
      </c>
      <c r="F175" s="2">
        <v>15</v>
      </c>
      <c r="G175" s="2">
        <v>0.2</v>
      </c>
      <c r="H175" s="3">
        <v>45712</v>
      </c>
      <c r="I175" s="2">
        <v>225.37</v>
      </c>
      <c r="J175" t="str">
        <f t="shared" si="2"/>
        <v>Feb-2025</v>
      </c>
    </row>
    <row r="176" spans="1:10" ht="16.5" customHeight="1" thickBot="1" x14ac:dyDescent="0.4">
      <c r="A176" s="1" t="s">
        <v>65</v>
      </c>
      <c r="B176" s="1" t="s">
        <v>47</v>
      </c>
      <c r="C176" s="1" t="s">
        <v>34</v>
      </c>
      <c r="D176" s="1" t="s">
        <v>39</v>
      </c>
      <c r="E176" s="2">
        <v>1618.22</v>
      </c>
      <c r="F176" s="2">
        <v>12</v>
      </c>
      <c r="G176" s="2">
        <v>0.2</v>
      </c>
      <c r="H176" s="3">
        <v>45712</v>
      </c>
      <c r="I176" s="2">
        <v>582.55999999999995</v>
      </c>
      <c r="J176" t="str">
        <f t="shared" si="2"/>
        <v>Feb-2025</v>
      </c>
    </row>
    <row r="177" spans="1:10" ht="16.5" customHeight="1" thickBot="1" x14ac:dyDescent="0.4">
      <c r="A177" s="1" t="s">
        <v>73</v>
      </c>
      <c r="B177" s="1" t="s">
        <v>53</v>
      </c>
      <c r="C177" s="1" t="s">
        <v>34</v>
      </c>
      <c r="D177" s="1" t="s">
        <v>12</v>
      </c>
      <c r="E177" s="2">
        <v>1014.43</v>
      </c>
      <c r="F177" s="2">
        <v>2</v>
      </c>
      <c r="G177" s="2">
        <v>0.15</v>
      </c>
      <c r="H177" s="3">
        <v>45713</v>
      </c>
      <c r="I177" s="2">
        <v>344.91</v>
      </c>
      <c r="J177" t="str">
        <f t="shared" si="2"/>
        <v>Feb-2025</v>
      </c>
    </row>
    <row r="178" spans="1:10" ht="16.5" customHeight="1" thickBot="1" x14ac:dyDescent="0.4">
      <c r="A178" s="1" t="s">
        <v>75</v>
      </c>
      <c r="B178" s="1" t="s">
        <v>31</v>
      </c>
      <c r="C178" s="1" t="s">
        <v>34</v>
      </c>
      <c r="D178" s="1" t="s">
        <v>15</v>
      </c>
      <c r="E178" s="2">
        <v>826.97</v>
      </c>
      <c r="F178" s="2">
        <v>18</v>
      </c>
      <c r="G178" s="2">
        <v>0.2</v>
      </c>
      <c r="H178" s="3">
        <v>45715</v>
      </c>
      <c r="I178" s="2">
        <v>330.79</v>
      </c>
      <c r="J178" t="str">
        <f t="shared" si="2"/>
        <v>Feb-2025</v>
      </c>
    </row>
    <row r="179" spans="1:10" ht="16.5" customHeight="1" thickBot="1" x14ac:dyDescent="0.4">
      <c r="A179" s="1" t="s">
        <v>16</v>
      </c>
      <c r="B179" s="1" t="s">
        <v>31</v>
      </c>
      <c r="C179" s="1" t="s">
        <v>34</v>
      </c>
      <c r="D179" s="1" t="s">
        <v>15</v>
      </c>
      <c r="E179" s="2">
        <v>1022.23</v>
      </c>
      <c r="F179" s="2">
        <v>8</v>
      </c>
      <c r="G179" s="2">
        <v>0.1</v>
      </c>
      <c r="H179" s="3">
        <v>45717</v>
      </c>
      <c r="I179" s="2">
        <v>460</v>
      </c>
      <c r="J179" t="str">
        <f t="shared" si="2"/>
        <v>Mar-2025</v>
      </c>
    </row>
    <row r="180" spans="1:10" ht="16.5" customHeight="1" thickBot="1" x14ac:dyDescent="0.4">
      <c r="A180" s="1" t="s">
        <v>72</v>
      </c>
      <c r="B180" s="1" t="s">
        <v>29</v>
      </c>
      <c r="C180" s="1" t="s">
        <v>18</v>
      </c>
      <c r="D180" s="1" t="s">
        <v>12</v>
      </c>
      <c r="E180" s="2">
        <v>1099.69</v>
      </c>
      <c r="F180" s="2">
        <v>6</v>
      </c>
      <c r="G180" s="2">
        <v>0</v>
      </c>
      <c r="H180" s="3">
        <v>45718</v>
      </c>
      <c r="I180" s="2">
        <v>439.88</v>
      </c>
      <c r="J180" t="str">
        <f t="shared" si="2"/>
        <v>Mar-2025</v>
      </c>
    </row>
    <row r="181" spans="1:10" ht="16.5" customHeight="1" thickBot="1" x14ac:dyDescent="0.4">
      <c r="A181" s="1" t="s">
        <v>52</v>
      </c>
      <c r="B181" s="1" t="s">
        <v>64</v>
      </c>
      <c r="C181" s="1" t="s">
        <v>24</v>
      </c>
      <c r="D181" s="1" t="s">
        <v>12</v>
      </c>
      <c r="E181" s="2">
        <v>710.52</v>
      </c>
      <c r="F181" s="2">
        <v>8</v>
      </c>
      <c r="G181" s="2">
        <v>0.1</v>
      </c>
      <c r="H181" s="3">
        <v>45721</v>
      </c>
      <c r="I181" s="2">
        <v>255.79</v>
      </c>
      <c r="J181" t="str">
        <f t="shared" si="2"/>
        <v>Mar-2025</v>
      </c>
    </row>
    <row r="182" spans="1:10" ht="16.5" customHeight="1" thickBot="1" x14ac:dyDescent="0.4">
      <c r="A182" s="1" t="s">
        <v>52</v>
      </c>
      <c r="B182" s="1" t="s">
        <v>59</v>
      </c>
      <c r="C182" s="1" t="s">
        <v>24</v>
      </c>
      <c r="D182" s="1" t="s">
        <v>12</v>
      </c>
      <c r="E182" s="2">
        <v>499.18</v>
      </c>
      <c r="F182" s="2">
        <v>15</v>
      </c>
      <c r="G182" s="2">
        <v>0.2</v>
      </c>
      <c r="H182" s="3">
        <v>45724</v>
      </c>
      <c r="I182" s="2">
        <v>159.74</v>
      </c>
      <c r="J182" t="str">
        <f t="shared" si="2"/>
        <v>Mar-2025</v>
      </c>
    </row>
    <row r="183" spans="1:10" ht="16.5" customHeight="1" thickBot="1" x14ac:dyDescent="0.4">
      <c r="A183" s="1" t="s">
        <v>37</v>
      </c>
      <c r="B183" s="1" t="s">
        <v>38</v>
      </c>
      <c r="C183" s="1" t="s">
        <v>20</v>
      </c>
      <c r="D183" s="1" t="s">
        <v>12</v>
      </c>
      <c r="E183" s="2">
        <v>1064.19</v>
      </c>
      <c r="F183" s="2">
        <v>18</v>
      </c>
      <c r="G183" s="2">
        <v>0.05</v>
      </c>
      <c r="H183" s="3">
        <v>45725</v>
      </c>
      <c r="I183" s="2">
        <v>404.39</v>
      </c>
      <c r="J183" t="str">
        <f t="shared" si="2"/>
        <v>Mar-2025</v>
      </c>
    </row>
    <row r="184" spans="1:10" ht="16.5" customHeight="1" thickBot="1" x14ac:dyDescent="0.4">
      <c r="A184" s="1" t="s">
        <v>67</v>
      </c>
      <c r="B184" s="1" t="s">
        <v>38</v>
      </c>
      <c r="C184" s="1" t="s">
        <v>18</v>
      </c>
      <c r="D184" s="1" t="s">
        <v>39</v>
      </c>
      <c r="E184" s="2">
        <v>438.76</v>
      </c>
      <c r="F184" s="2">
        <v>18</v>
      </c>
      <c r="G184" s="2">
        <v>0.05</v>
      </c>
      <c r="H184" s="3">
        <v>45726</v>
      </c>
      <c r="I184" s="2">
        <v>187.57</v>
      </c>
      <c r="J184" t="str">
        <f t="shared" si="2"/>
        <v>Mar-2025</v>
      </c>
    </row>
    <row r="185" spans="1:10" ht="16.5" customHeight="1" thickBot="1" x14ac:dyDescent="0.4">
      <c r="A185" s="1" t="s">
        <v>41</v>
      </c>
      <c r="B185" s="1" t="s">
        <v>55</v>
      </c>
      <c r="C185" s="1" t="s">
        <v>11</v>
      </c>
      <c r="D185" s="1" t="s">
        <v>15</v>
      </c>
      <c r="E185" s="2">
        <v>864.98</v>
      </c>
      <c r="F185" s="2">
        <v>2</v>
      </c>
      <c r="G185" s="2">
        <v>0.05</v>
      </c>
      <c r="H185" s="3">
        <v>45727</v>
      </c>
      <c r="I185" s="2">
        <v>410.87</v>
      </c>
      <c r="J185" t="str">
        <f t="shared" si="2"/>
        <v>Mar-2025</v>
      </c>
    </row>
    <row r="186" spans="1:10" ht="16.5" customHeight="1" thickBot="1" x14ac:dyDescent="0.4">
      <c r="A186" s="1" t="s">
        <v>57</v>
      </c>
      <c r="B186" s="1" t="s">
        <v>55</v>
      </c>
      <c r="C186" s="1" t="s">
        <v>11</v>
      </c>
      <c r="D186" s="1" t="s">
        <v>27</v>
      </c>
      <c r="E186" s="2">
        <v>984.93</v>
      </c>
      <c r="F186" s="2">
        <v>14</v>
      </c>
      <c r="G186" s="2">
        <v>0.2</v>
      </c>
      <c r="H186" s="3">
        <v>45733</v>
      </c>
      <c r="I186" s="2">
        <v>275.77999999999997</v>
      </c>
      <c r="J186" t="str">
        <f t="shared" si="2"/>
        <v>Mar-2025</v>
      </c>
    </row>
    <row r="187" spans="1:10" ht="16.5" customHeight="1" thickBot="1" x14ac:dyDescent="0.4">
      <c r="A187" s="1" t="s">
        <v>25</v>
      </c>
      <c r="B187" s="1" t="s">
        <v>55</v>
      </c>
      <c r="C187" s="1" t="s">
        <v>11</v>
      </c>
      <c r="D187" s="1" t="s">
        <v>15</v>
      </c>
      <c r="E187" s="2">
        <v>1493.49</v>
      </c>
      <c r="F187" s="2">
        <v>18</v>
      </c>
      <c r="G187" s="2">
        <v>0</v>
      </c>
      <c r="H187" s="3">
        <v>45734</v>
      </c>
      <c r="I187" s="2">
        <v>746.74</v>
      </c>
      <c r="J187" t="str">
        <f t="shared" si="2"/>
        <v>Mar-2025</v>
      </c>
    </row>
    <row r="188" spans="1:10" ht="16.5" customHeight="1" thickBot="1" x14ac:dyDescent="0.4">
      <c r="A188" s="1" t="s">
        <v>32</v>
      </c>
      <c r="B188" s="1" t="s">
        <v>53</v>
      </c>
      <c r="C188" s="1" t="s">
        <v>20</v>
      </c>
      <c r="D188" s="1" t="s">
        <v>15</v>
      </c>
      <c r="E188" s="2">
        <v>689.43</v>
      </c>
      <c r="F188" s="2">
        <v>9</v>
      </c>
      <c r="G188" s="2">
        <v>0.1</v>
      </c>
      <c r="H188" s="3">
        <v>45736</v>
      </c>
      <c r="I188" s="2">
        <v>310.24</v>
      </c>
      <c r="J188" t="str">
        <f t="shared" si="2"/>
        <v>Mar-2025</v>
      </c>
    </row>
    <row r="189" spans="1:10" ht="16.5" customHeight="1" thickBot="1" x14ac:dyDescent="0.4">
      <c r="A189" s="1" t="s">
        <v>40</v>
      </c>
      <c r="B189" s="1" t="s">
        <v>59</v>
      </c>
      <c r="C189" s="1" t="s">
        <v>20</v>
      </c>
      <c r="D189" s="1" t="s">
        <v>15</v>
      </c>
      <c r="E189" s="2">
        <v>682.24</v>
      </c>
      <c r="F189" s="2">
        <v>1</v>
      </c>
      <c r="G189" s="2">
        <v>0</v>
      </c>
      <c r="H189" s="3">
        <v>45738</v>
      </c>
      <c r="I189" s="2">
        <v>341.12</v>
      </c>
      <c r="J189" t="str">
        <f t="shared" si="2"/>
        <v>Mar-2025</v>
      </c>
    </row>
    <row r="190" spans="1:10" ht="16.5" customHeight="1" thickBot="1" x14ac:dyDescent="0.4">
      <c r="A190" s="1" t="s">
        <v>41</v>
      </c>
      <c r="B190" s="1" t="s">
        <v>26</v>
      </c>
      <c r="C190" s="1" t="s">
        <v>24</v>
      </c>
      <c r="D190" s="1" t="s">
        <v>21</v>
      </c>
      <c r="E190" s="2">
        <v>458.54</v>
      </c>
      <c r="F190" s="2">
        <v>15</v>
      </c>
      <c r="G190" s="2">
        <v>0.2</v>
      </c>
      <c r="H190" s="3">
        <v>45741</v>
      </c>
      <c r="I190" s="2">
        <v>91.71</v>
      </c>
      <c r="J190" t="str">
        <f t="shared" si="2"/>
        <v>Mar-2025</v>
      </c>
    </row>
    <row r="191" spans="1:10" ht="16.5" customHeight="1" thickBot="1" x14ac:dyDescent="0.4">
      <c r="A191" s="1" t="s">
        <v>32</v>
      </c>
      <c r="B191" s="1" t="s">
        <v>26</v>
      </c>
      <c r="C191" s="1" t="s">
        <v>20</v>
      </c>
      <c r="D191" s="1" t="s">
        <v>27</v>
      </c>
      <c r="E191" s="2">
        <v>1184.25</v>
      </c>
      <c r="F191" s="2">
        <v>11</v>
      </c>
      <c r="G191" s="2">
        <v>0.2</v>
      </c>
      <c r="H191" s="3">
        <v>45742</v>
      </c>
      <c r="I191" s="2">
        <v>331.59</v>
      </c>
      <c r="J191" t="str">
        <f t="shared" si="2"/>
        <v>Mar-2025</v>
      </c>
    </row>
    <row r="192" spans="1:10" ht="16.5" customHeight="1" thickBot="1" x14ac:dyDescent="0.4">
      <c r="A192" s="1" t="s">
        <v>25</v>
      </c>
      <c r="B192" s="1" t="s">
        <v>10</v>
      </c>
      <c r="C192" s="1" t="s">
        <v>20</v>
      </c>
      <c r="D192" s="1" t="s">
        <v>15</v>
      </c>
      <c r="E192" s="2">
        <v>762.14</v>
      </c>
      <c r="F192" s="2">
        <v>9</v>
      </c>
      <c r="G192" s="2">
        <v>0</v>
      </c>
      <c r="H192" s="3">
        <v>45743</v>
      </c>
      <c r="I192" s="2">
        <v>381.07</v>
      </c>
      <c r="J192" t="str">
        <f t="shared" si="2"/>
        <v>Mar-2025</v>
      </c>
    </row>
    <row r="193" spans="1:10" ht="16.5" customHeight="1" thickBot="1" x14ac:dyDescent="0.4">
      <c r="A193" s="1" t="s">
        <v>22</v>
      </c>
      <c r="B193" s="1" t="s">
        <v>53</v>
      </c>
      <c r="C193" s="1" t="s">
        <v>24</v>
      </c>
      <c r="D193" s="1" t="s">
        <v>12</v>
      </c>
      <c r="E193" s="2">
        <v>750.71</v>
      </c>
      <c r="F193" s="2">
        <v>10</v>
      </c>
      <c r="G193" s="2">
        <v>0.15</v>
      </c>
      <c r="H193" s="3">
        <v>45743</v>
      </c>
      <c r="I193" s="2">
        <v>255.24</v>
      </c>
      <c r="J193" t="str">
        <f t="shared" si="2"/>
        <v>Mar-2025</v>
      </c>
    </row>
    <row r="194" spans="1:10" ht="16.5" customHeight="1" thickBot="1" x14ac:dyDescent="0.4">
      <c r="A194" s="1" t="s">
        <v>75</v>
      </c>
      <c r="B194" s="1" t="s">
        <v>71</v>
      </c>
      <c r="C194" s="1" t="s">
        <v>34</v>
      </c>
      <c r="D194" s="1" t="s">
        <v>15</v>
      </c>
      <c r="E194" s="2">
        <v>1456.94</v>
      </c>
      <c r="F194" s="2">
        <v>14</v>
      </c>
      <c r="G194" s="2">
        <v>0.05</v>
      </c>
      <c r="H194" s="3">
        <v>45745</v>
      </c>
      <c r="I194" s="2">
        <v>692.05</v>
      </c>
      <c r="J194" t="str">
        <f t="shared" si="2"/>
        <v>Mar-2025</v>
      </c>
    </row>
    <row r="195" spans="1:10" ht="16.5" customHeight="1" thickBot="1" x14ac:dyDescent="0.4">
      <c r="A195" s="1" t="s">
        <v>44</v>
      </c>
      <c r="B195" s="1" t="s">
        <v>61</v>
      </c>
      <c r="C195" s="1" t="s">
        <v>18</v>
      </c>
      <c r="D195" s="1" t="s">
        <v>27</v>
      </c>
      <c r="E195" s="2">
        <v>1093.3800000000001</v>
      </c>
      <c r="F195" s="2">
        <v>17</v>
      </c>
      <c r="G195" s="2">
        <v>0.1</v>
      </c>
      <c r="H195" s="3">
        <v>45745</v>
      </c>
      <c r="I195" s="2">
        <v>344.41</v>
      </c>
      <c r="J195" t="str">
        <f t="shared" ref="J195:J201" si="3">TEXT(H195,"mmm-yyyy")</f>
        <v>Mar-2025</v>
      </c>
    </row>
    <row r="196" spans="1:10" ht="16.5" customHeight="1" thickBot="1" x14ac:dyDescent="0.4">
      <c r="A196" s="1" t="s">
        <v>37</v>
      </c>
      <c r="B196" s="1" t="s">
        <v>43</v>
      </c>
      <c r="C196" s="1" t="s">
        <v>11</v>
      </c>
      <c r="D196" s="1" t="s">
        <v>15</v>
      </c>
      <c r="E196" s="2">
        <v>934.27</v>
      </c>
      <c r="F196" s="2">
        <v>8</v>
      </c>
      <c r="G196" s="2">
        <v>0.15</v>
      </c>
      <c r="H196" s="3">
        <v>45746</v>
      </c>
      <c r="I196" s="2">
        <v>397.06</v>
      </c>
      <c r="J196" t="str">
        <f t="shared" si="3"/>
        <v>Mar-2025</v>
      </c>
    </row>
    <row r="197" spans="1:10" ht="16.5" customHeight="1" thickBot="1" x14ac:dyDescent="0.4">
      <c r="A197" s="1" t="s">
        <v>70</v>
      </c>
      <c r="B197" s="1" t="s">
        <v>36</v>
      </c>
      <c r="C197" s="1" t="s">
        <v>34</v>
      </c>
      <c r="D197" s="1" t="s">
        <v>15</v>
      </c>
      <c r="E197" s="2">
        <v>1465.35</v>
      </c>
      <c r="F197" s="2">
        <v>8</v>
      </c>
      <c r="G197" s="2">
        <v>0.2</v>
      </c>
      <c r="H197" s="3">
        <v>45746</v>
      </c>
      <c r="I197" s="2">
        <v>586.14</v>
      </c>
      <c r="J197" t="str">
        <f t="shared" si="3"/>
        <v>Mar-2025</v>
      </c>
    </row>
    <row r="198" spans="1:10" ht="16.5" customHeight="1" thickBot="1" x14ac:dyDescent="0.4">
      <c r="A198" s="1" t="s">
        <v>52</v>
      </c>
      <c r="B198" s="1" t="s">
        <v>14</v>
      </c>
      <c r="C198" s="1" t="s">
        <v>20</v>
      </c>
      <c r="D198" s="1" t="s">
        <v>39</v>
      </c>
      <c r="E198" s="2">
        <v>740.8</v>
      </c>
      <c r="F198" s="2">
        <v>3</v>
      </c>
      <c r="G198" s="2">
        <v>0</v>
      </c>
      <c r="H198" s="3">
        <v>45749</v>
      </c>
      <c r="I198" s="2">
        <v>333.36</v>
      </c>
      <c r="J198" t="str">
        <f t="shared" si="3"/>
        <v>Apr-2025</v>
      </c>
    </row>
    <row r="199" spans="1:10" ht="16.5" customHeight="1" thickBot="1" x14ac:dyDescent="0.4">
      <c r="A199" s="1" t="s">
        <v>58</v>
      </c>
      <c r="B199" s="1" t="s">
        <v>43</v>
      </c>
      <c r="C199" s="1" t="s">
        <v>11</v>
      </c>
      <c r="D199" s="1" t="s">
        <v>39</v>
      </c>
      <c r="E199" s="2">
        <v>545.44000000000005</v>
      </c>
      <c r="F199" s="2">
        <v>17</v>
      </c>
      <c r="G199" s="2">
        <v>0</v>
      </c>
      <c r="H199" s="3">
        <v>45752</v>
      </c>
      <c r="I199" s="2">
        <v>245.45</v>
      </c>
      <c r="J199" t="str">
        <f t="shared" si="3"/>
        <v>Apr-2025</v>
      </c>
    </row>
    <row r="200" spans="1:10" ht="16.5" customHeight="1" thickBot="1" x14ac:dyDescent="0.4">
      <c r="A200" s="1" t="s">
        <v>35</v>
      </c>
      <c r="B200" s="1" t="s">
        <v>36</v>
      </c>
      <c r="C200" s="1" t="s">
        <v>18</v>
      </c>
      <c r="D200" s="1" t="s">
        <v>12</v>
      </c>
      <c r="E200" s="2">
        <v>997.61</v>
      </c>
      <c r="F200" s="2">
        <v>8</v>
      </c>
      <c r="G200" s="2">
        <v>0.05</v>
      </c>
      <c r="H200" s="3">
        <v>45752</v>
      </c>
      <c r="I200" s="2">
        <v>379.09</v>
      </c>
      <c r="J200" t="str">
        <f t="shared" si="3"/>
        <v>Apr-2025</v>
      </c>
    </row>
    <row r="201" spans="1:10" ht="16.5" customHeight="1" thickBot="1" x14ac:dyDescent="0.4">
      <c r="A201" s="1" t="s">
        <v>60</v>
      </c>
      <c r="B201" s="1" t="s">
        <v>36</v>
      </c>
      <c r="C201" s="1" t="s">
        <v>20</v>
      </c>
      <c r="D201" s="1" t="s">
        <v>15</v>
      </c>
      <c r="E201" s="2">
        <v>928.32</v>
      </c>
      <c r="F201" s="2">
        <v>2</v>
      </c>
      <c r="G201" s="2">
        <v>0.05</v>
      </c>
      <c r="H201" s="3">
        <v>45754</v>
      </c>
      <c r="I201" s="2">
        <v>440.95</v>
      </c>
      <c r="J201" t="str">
        <f t="shared" si="3"/>
        <v>Apr-2025</v>
      </c>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1" id="{1D43ABA4-0597-47AE-B3F3-D3A3E7D56F50}">
            <x14:iconSet iconSet="3Triangles">
              <x14:cfvo type="percent">
                <xm:f>0</xm:f>
              </x14:cfvo>
              <x14:cfvo type="percent">
                <xm:f>33</xm:f>
              </x14:cfvo>
              <x14:cfvo type="percent">
                <xm:f>67</xm:f>
              </x14:cfvo>
            </x14:iconSet>
          </x14:cfRule>
          <xm:sqref>O9:O20</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BF1B1-9B59-4F7C-9F2F-DA0ADA0C8BA2}">
  <dimension ref="A1:J201"/>
  <sheetViews>
    <sheetView workbookViewId="0">
      <selection activeCell="M7" sqref="M7"/>
    </sheetView>
  </sheetViews>
  <sheetFormatPr defaultRowHeight="16.5" customHeight="1" x14ac:dyDescent="0.35"/>
  <cols>
    <col min="1" max="1" width="12.6328125" style="39" customWidth="1"/>
    <col min="2" max="2" width="15.81640625" style="39" customWidth="1"/>
    <col min="3" max="3" width="8.7265625" style="39"/>
    <col min="4" max="4" width="16.54296875" style="39" customWidth="1"/>
    <col min="5" max="6" width="8.7265625" style="39"/>
    <col min="7" max="7" width="11.08984375" style="39" customWidth="1"/>
    <col min="8" max="8" width="13.08984375" style="39" customWidth="1"/>
    <col min="9" max="9" width="8.7265625" style="39"/>
    <col min="10" max="10" width="16" customWidth="1"/>
  </cols>
  <sheetData>
    <row r="1" spans="1:10" ht="16.5" customHeight="1" thickBot="1" x14ac:dyDescent="0.4">
      <c r="A1" s="36" t="s">
        <v>0</v>
      </c>
      <c r="B1" s="36" t="s">
        <v>1</v>
      </c>
      <c r="C1" s="36" t="s">
        <v>2</v>
      </c>
      <c r="D1" s="36" t="s">
        <v>3</v>
      </c>
      <c r="E1" s="36" t="s">
        <v>4</v>
      </c>
      <c r="F1" s="36" t="s">
        <v>5</v>
      </c>
      <c r="G1" s="36" t="s">
        <v>6</v>
      </c>
      <c r="H1" s="36" t="s">
        <v>7</v>
      </c>
      <c r="I1" s="36" t="s">
        <v>8</v>
      </c>
      <c r="J1" s="40" t="s">
        <v>132</v>
      </c>
    </row>
    <row r="2" spans="1:10" ht="16.5" customHeight="1" thickBot="1" x14ac:dyDescent="0.4">
      <c r="A2" s="37" t="s">
        <v>9</v>
      </c>
      <c r="B2" s="37" t="s">
        <v>10</v>
      </c>
      <c r="C2" s="37" t="s">
        <v>11</v>
      </c>
      <c r="D2" s="37" t="s">
        <v>12</v>
      </c>
      <c r="E2" s="37">
        <v>1036.0899999999999</v>
      </c>
      <c r="F2" s="37">
        <v>4</v>
      </c>
      <c r="G2" s="37">
        <v>0.2</v>
      </c>
      <c r="H2" s="38">
        <v>45392</v>
      </c>
      <c r="I2" s="37">
        <v>331.55</v>
      </c>
      <c r="J2" s="41">
        <f ca="1">NOW()</f>
        <v>46030.754757407405</v>
      </c>
    </row>
    <row r="3" spans="1:10" ht="16.5" customHeight="1" thickBot="1" x14ac:dyDescent="0.4">
      <c r="A3" s="37" t="s">
        <v>13</v>
      </c>
      <c r="B3" s="37" t="s">
        <v>14</v>
      </c>
      <c r="C3" s="37" t="s">
        <v>11</v>
      </c>
      <c r="D3" s="37" t="s">
        <v>15</v>
      </c>
      <c r="E3" s="37">
        <v>1101.28</v>
      </c>
      <c r="F3" s="37">
        <v>3</v>
      </c>
      <c r="G3" s="37">
        <v>0.2</v>
      </c>
      <c r="H3" s="38">
        <v>45393</v>
      </c>
      <c r="I3" s="37">
        <v>440.51</v>
      </c>
      <c r="J3" s="41">
        <f t="shared" ref="J3:J66" ca="1" si="0">NOW()</f>
        <v>46030.754757407405</v>
      </c>
    </row>
    <row r="4" spans="1:10" ht="16.5" customHeight="1" thickBot="1" x14ac:dyDescent="0.4">
      <c r="A4" s="37" t="s">
        <v>16</v>
      </c>
      <c r="B4" s="37" t="s">
        <v>17</v>
      </c>
      <c r="C4" s="37" t="s">
        <v>18</v>
      </c>
      <c r="D4" s="37" t="s">
        <v>12</v>
      </c>
      <c r="E4" s="37">
        <v>713.34</v>
      </c>
      <c r="F4" s="37">
        <v>17</v>
      </c>
      <c r="G4" s="37">
        <v>0</v>
      </c>
      <c r="H4" s="38">
        <v>45396</v>
      </c>
      <c r="I4" s="37">
        <v>285.33999999999997</v>
      </c>
      <c r="J4" s="41">
        <f t="shared" ca="1" si="0"/>
        <v>46030.754757407405</v>
      </c>
    </row>
    <row r="5" spans="1:10" ht="16.5" customHeight="1" thickBot="1" x14ac:dyDescent="0.4">
      <c r="A5" s="37" t="s">
        <v>19</v>
      </c>
      <c r="B5" s="37" t="s">
        <v>14</v>
      </c>
      <c r="C5" s="37" t="s">
        <v>20</v>
      </c>
      <c r="D5" s="37" t="s">
        <v>21</v>
      </c>
      <c r="E5" s="37">
        <v>760.93</v>
      </c>
      <c r="F5" s="37">
        <v>4</v>
      </c>
      <c r="G5" s="37">
        <v>0.15</v>
      </c>
      <c r="H5" s="38">
        <v>45396</v>
      </c>
      <c r="I5" s="37">
        <v>161.69999999999999</v>
      </c>
      <c r="J5" s="41">
        <f t="shared" ca="1" si="0"/>
        <v>46030.754757407405</v>
      </c>
    </row>
    <row r="6" spans="1:10" ht="16.5" customHeight="1" thickBot="1" x14ac:dyDescent="0.4">
      <c r="A6" s="37" t="s">
        <v>22</v>
      </c>
      <c r="B6" s="37" t="s">
        <v>23</v>
      </c>
      <c r="C6" s="37" t="s">
        <v>24</v>
      </c>
      <c r="D6" s="37" t="s">
        <v>12</v>
      </c>
      <c r="E6" s="37">
        <v>847</v>
      </c>
      <c r="F6" s="37">
        <v>12</v>
      </c>
      <c r="G6" s="37">
        <v>0.2</v>
      </c>
      <c r="H6" s="38">
        <v>45397</v>
      </c>
      <c r="I6" s="37">
        <v>271.04000000000002</v>
      </c>
      <c r="J6" s="41">
        <f t="shared" ca="1" si="0"/>
        <v>46030.754757407405</v>
      </c>
    </row>
    <row r="7" spans="1:10" ht="16.5" customHeight="1" thickBot="1" x14ac:dyDescent="0.4">
      <c r="A7" s="37" t="s">
        <v>25</v>
      </c>
      <c r="B7" s="37" t="s">
        <v>26</v>
      </c>
      <c r="C7" s="37" t="s">
        <v>24</v>
      </c>
      <c r="D7" s="37" t="s">
        <v>27</v>
      </c>
      <c r="E7" s="37">
        <v>965.64</v>
      </c>
      <c r="F7" s="37">
        <v>8</v>
      </c>
      <c r="G7" s="37">
        <v>0.1</v>
      </c>
      <c r="H7" s="38">
        <v>45398</v>
      </c>
      <c r="I7" s="37">
        <v>304.18</v>
      </c>
      <c r="J7" s="41">
        <f t="shared" ca="1" si="0"/>
        <v>46030.754757407405</v>
      </c>
    </row>
    <row r="8" spans="1:10" ht="16.5" customHeight="1" thickBot="1" x14ac:dyDescent="0.4">
      <c r="A8" s="37" t="s">
        <v>28</v>
      </c>
      <c r="B8" s="37" t="s">
        <v>29</v>
      </c>
      <c r="C8" s="37" t="s">
        <v>11</v>
      </c>
      <c r="D8" s="37" t="s">
        <v>21</v>
      </c>
      <c r="E8" s="37">
        <v>1317.53</v>
      </c>
      <c r="F8" s="37">
        <v>12</v>
      </c>
      <c r="G8" s="37">
        <v>0.05</v>
      </c>
      <c r="H8" s="38">
        <v>45398</v>
      </c>
      <c r="I8" s="37">
        <v>312.91000000000003</v>
      </c>
      <c r="J8" s="41">
        <f t="shared" ca="1" si="0"/>
        <v>46030.754757407405</v>
      </c>
    </row>
    <row r="9" spans="1:10" ht="16.5" customHeight="1" thickBot="1" x14ac:dyDescent="0.4">
      <c r="A9" s="37" t="s">
        <v>30</v>
      </c>
      <c r="B9" s="37" t="s">
        <v>31</v>
      </c>
      <c r="C9" s="37" t="s">
        <v>18</v>
      </c>
      <c r="D9" s="37" t="s">
        <v>27</v>
      </c>
      <c r="E9" s="37">
        <v>1074.47</v>
      </c>
      <c r="F9" s="37">
        <v>6</v>
      </c>
      <c r="G9" s="37">
        <v>0.2</v>
      </c>
      <c r="H9" s="38">
        <v>45401</v>
      </c>
      <c r="I9" s="37">
        <v>300.85000000000002</v>
      </c>
      <c r="J9" s="41">
        <f t="shared" ca="1" si="0"/>
        <v>46030.754757407405</v>
      </c>
    </row>
    <row r="10" spans="1:10" ht="16.5" customHeight="1" thickBot="1" x14ac:dyDescent="0.4">
      <c r="A10" s="37" t="s">
        <v>32</v>
      </c>
      <c r="B10" s="37" t="s">
        <v>33</v>
      </c>
      <c r="C10" s="37" t="s">
        <v>34</v>
      </c>
      <c r="D10" s="37" t="s">
        <v>12</v>
      </c>
      <c r="E10" s="37">
        <v>501.54</v>
      </c>
      <c r="F10" s="37">
        <v>11</v>
      </c>
      <c r="G10" s="37">
        <v>0.05</v>
      </c>
      <c r="H10" s="38">
        <v>45401</v>
      </c>
      <c r="I10" s="37">
        <v>190.59</v>
      </c>
      <c r="J10" s="41">
        <f t="shared" ca="1" si="0"/>
        <v>46030.754757407405</v>
      </c>
    </row>
    <row r="11" spans="1:10" ht="16.5" customHeight="1" thickBot="1" x14ac:dyDescent="0.4">
      <c r="A11" s="37" t="s">
        <v>35</v>
      </c>
      <c r="B11" s="37" t="s">
        <v>36</v>
      </c>
      <c r="C11" s="37" t="s">
        <v>34</v>
      </c>
      <c r="D11" s="37" t="s">
        <v>15</v>
      </c>
      <c r="E11" s="37">
        <v>737.31</v>
      </c>
      <c r="F11" s="37">
        <v>2</v>
      </c>
      <c r="G11" s="37">
        <v>0.05</v>
      </c>
      <c r="H11" s="38">
        <v>45401</v>
      </c>
      <c r="I11" s="37">
        <v>350.22</v>
      </c>
      <c r="J11" s="41">
        <f t="shared" ca="1" si="0"/>
        <v>46030.754757407405</v>
      </c>
    </row>
    <row r="12" spans="1:10" ht="16.5" customHeight="1" thickBot="1" x14ac:dyDescent="0.4">
      <c r="A12" s="37" t="s">
        <v>37</v>
      </c>
      <c r="B12" s="37" t="s">
        <v>38</v>
      </c>
      <c r="C12" s="37" t="s">
        <v>11</v>
      </c>
      <c r="D12" s="37" t="s">
        <v>39</v>
      </c>
      <c r="E12" s="37">
        <v>1572.82</v>
      </c>
      <c r="F12" s="37">
        <v>6</v>
      </c>
      <c r="G12" s="37">
        <v>0.05</v>
      </c>
      <c r="H12" s="38">
        <v>45402</v>
      </c>
      <c r="I12" s="37">
        <v>672.38</v>
      </c>
      <c r="J12" s="41">
        <f t="shared" ca="1" si="0"/>
        <v>46030.754757407405</v>
      </c>
    </row>
    <row r="13" spans="1:10" ht="16.5" customHeight="1" thickBot="1" x14ac:dyDescent="0.4">
      <c r="A13" s="37" t="s">
        <v>37</v>
      </c>
      <c r="B13" s="37" t="s">
        <v>36</v>
      </c>
      <c r="C13" s="37" t="s">
        <v>34</v>
      </c>
      <c r="D13" s="37" t="s">
        <v>12</v>
      </c>
      <c r="E13" s="37">
        <v>1343.13</v>
      </c>
      <c r="F13" s="37">
        <v>14</v>
      </c>
      <c r="G13" s="37">
        <v>0.15</v>
      </c>
      <c r="H13" s="38">
        <v>45404</v>
      </c>
      <c r="I13" s="37">
        <v>456.66</v>
      </c>
      <c r="J13" s="41">
        <f t="shared" ca="1" si="0"/>
        <v>46030.754757407405</v>
      </c>
    </row>
    <row r="14" spans="1:10" ht="16.5" customHeight="1" thickBot="1" x14ac:dyDescent="0.4">
      <c r="A14" s="37" t="s">
        <v>25</v>
      </c>
      <c r="B14" s="37" t="s">
        <v>26</v>
      </c>
      <c r="C14" s="37" t="s">
        <v>34</v>
      </c>
      <c r="D14" s="37" t="s">
        <v>12</v>
      </c>
      <c r="E14" s="37">
        <v>1191.58</v>
      </c>
      <c r="F14" s="37">
        <v>14</v>
      </c>
      <c r="G14" s="37">
        <v>0.05</v>
      </c>
      <c r="H14" s="38">
        <v>45406</v>
      </c>
      <c r="I14" s="37">
        <v>452.8</v>
      </c>
      <c r="J14" s="41">
        <f t="shared" ca="1" si="0"/>
        <v>46030.754757407405</v>
      </c>
    </row>
    <row r="15" spans="1:10" ht="16.5" customHeight="1" thickBot="1" x14ac:dyDescent="0.4">
      <c r="A15" s="37" t="s">
        <v>40</v>
      </c>
      <c r="B15" s="37" t="s">
        <v>14</v>
      </c>
      <c r="C15" s="37" t="s">
        <v>11</v>
      </c>
      <c r="D15" s="37" t="s">
        <v>27</v>
      </c>
      <c r="E15" s="37">
        <v>822.28</v>
      </c>
      <c r="F15" s="37">
        <v>7</v>
      </c>
      <c r="G15" s="37">
        <v>0.05</v>
      </c>
      <c r="H15" s="38">
        <v>45406</v>
      </c>
      <c r="I15" s="37">
        <v>273.41000000000003</v>
      </c>
      <c r="J15" s="41">
        <f t="shared" ca="1" si="0"/>
        <v>46030.754757407405</v>
      </c>
    </row>
    <row r="16" spans="1:10" ht="16.5" customHeight="1" thickBot="1" x14ac:dyDescent="0.4">
      <c r="A16" s="37" t="s">
        <v>41</v>
      </c>
      <c r="B16" s="37" t="s">
        <v>42</v>
      </c>
      <c r="C16" s="37" t="s">
        <v>24</v>
      </c>
      <c r="D16" s="37" t="s">
        <v>27</v>
      </c>
      <c r="E16" s="37">
        <v>521.66999999999996</v>
      </c>
      <c r="F16" s="37">
        <v>15</v>
      </c>
      <c r="G16" s="37">
        <v>0.15</v>
      </c>
      <c r="H16" s="38">
        <v>45409</v>
      </c>
      <c r="I16" s="37">
        <v>155.19999999999999</v>
      </c>
      <c r="J16" s="41">
        <f t="shared" ca="1" si="0"/>
        <v>46030.754757407405</v>
      </c>
    </row>
    <row r="17" spans="1:10" ht="16.5" customHeight="1" thickBot="1" x14ac:dyDescent="0.4">
      <c r="A17" s="37" t="s">
        <v>19</v>
      </c>
      <c r="B17" s="37" t="s">
        <v>43</v>
      </c>
      <c r="C17" s="37" t="s">
        <v>20</v>
      </c>
      <c r="D17" s="37" t="s">
        <v>21</v>
      </c>
      <c r="E17" s="37">
        <v>1502.93</v>
      </c>
      <c r="F17" s="37">
        <v>14</v>
      </c>
      <c r="G17" s="37">
        <v>0.2</v>
      </c>
      <c r="H17" s="38">
        <v>45410</v>
      </c>
      <c r="I17" s="37">
        <v>300.58999999999997</v>
      </c>
      <c r="J17" s="41">
        <f t="shared" ca="1" si="0"/>
        <v>46030.754757407405</v>
      </c>
    </row>
    <row r="18" spans="1:10" ht="16.5" customHeight="1" thickBot="1" x14ac:dyDescent="0.4">
      <c r="A18" s="37" t="s">
        <v>44</v>
      </c>
      <c r="B18" s="37" t="s">
        <v>14</v>
      </c>
      <c r="C18" s="37" t="s">
        <v>20</v>
      </c>
      <c r="D18" s="37" t="s">
        <v>12</v>
      </c>
      <c r="E18" s="37">
        <v>877.58</v>
      </c>
      <c r="F18" s="37">
        <v>10</v>
      </c>
      <c r="G18" s="37">
        <v>0.15</v>
      </c>
      <c r="H18" s="38">
        <v>45411</v>
      </c>
      <c r="I18" s="37">
        <v>298.38</v>
      </c>
      <c r="J18" s="41">
        <f t="shared" ca="1" si="0"/>
        <v>46030.754757407405</v>
      </c>
    </row>
    <row r="19" spans="1:10" ht="16.5" customHeight="1" thickBot="1" x14ac:dyDescent="0.4">
      <c r="A19" s="37" t="s">
        <v>28</v>
      </c>
      <c r="B19" s="37" t="s">
        <v>45</v>
      </c>
      <c r="C19" s="37" t="s">
        <v>11</v>
      </c>
      <c r="D19" s="37" t="s">
        <v>12</v>
      </c>
      <c r="E19" s="37">
        <v>636.70000000000005</v>
      </c>
      <c r="F19" s="37">
        <v>4</v>
      </c>
      <c r="G19" s="37">
        <v>0.2</v>
      </c>
      <c r="H19" s="38">
        <v>45411</v>
      </c>
      <c r="I19" s="37">
        <v>203.74</v>
      </c>
      <c r="J19" s="41">
        <f t="shared" ca="1" si="0"/>
        <v>46030.754757407405</v>
      </c>
    </row>
    <row r="20" spans="1:10" ht="16.5" customHeight="1" thickBot="1" x14ac:dyDescent="0.4">
      <c r="A20" s="37" t="s">
        <v>46</v>
      </c>
      <c r="B20" s="37" t="s">
        <v>47</v>
      </c>
      <c r="C20" s="37" t="s">
        <v>11</v>
      </c>
      <c r="D20" s="37" t="s">
        <v>12</v>
      </c>
      <c r="E20" s="37">
        <v>1506.14</v>
      </c>
      <c r="F20" s="37">
        <v>13</v>
      </c>
      <c r="G20" s="37">
        <v>0.2</v>
      </c>
      <c r="H20" s="38">
        <v>45412</v>
      </c>
      <c r="I20" s="37">
        <v>481.96</v>
      </c>
      <c r="J20" s="41">
        <f t="shared" ca="1" si="0"/>
        <v>46030.754757407405</v>
      </c>
    </row>
    <row r="21" spans="1:10" ht="16.5" customHeight="1" thickBot="1" x14ac:dyDescent="0.4">
      <c r="A21" s="37" t="s">
        <v>30</v>
      </c>
      <c r="B21" s="37" t="s">
        <v>31</v>
      </c>
      <c r="C21" s="37" t="s">
        <v>34</v>
      </c>
      <c r="D21" s="37" t="s">
        <v>21</v>
      </c>
      <c r="E21" s="37">
        <v>645.02</v>
      </c>
      <c r="F21" s="37">
        <v>4</v>
      </c>
      <c r="G21" s="37">
        <v>0</v>
      </c>
      <c r="H21" s="38">
        <v>45414</v>
      </c>
      <c r="I21" s="37">
        <v>161.26</v>
      </c>
      <c r="J21" s="41">
        <f t="shared" ca="1" si="0"/>
        <v>46030.754757407405</v>
      </c>
    </row>
    <row r="22" spans="1:10" ht="16.5" customHeight="1" thickBot="1" x14ac:dyDescent="0.4">
      <c r="A22" s="37" t="s">
        <v>25</v>
      </c>
      <c r="B22" s="37" t="s">
        <v>48</v>
      </c>
      <c r="C22" s="37" t="s">
        <v>20</v>
      </c>
      <c r="D22" s="37" t="s">
        <v>15</v>
      </c>
      <c r="E22" s="37">
        <v>953.3</v>
      </c>
      <c r="F22" s="37">
        <v>11</v>
      </c>
      <c r="G22" s="37">
        <v>0</v>
      </c>
      <c r="H22" s="38">
        <v>45415</v>
      </c>
      <c r="I22" s="37">
        <v>476.65</v>
      </c>
      <c r="J22" s="41">
        <f t="shared" ca="1" si="0"/>
        <v>46030.754757407405</v>
      </c>
    </row>
    <row r="23" spans="1:10" ht="16.5" customHeight="1" thickBot="1" x14ac:dyDescent="0.4">
      <c r="A23" s="37" t="s">
        <v>49</v>
      </c>
      <c r="B23" s="37" t="s">
        <v>14</v>
      </c>
      <c r="C23" s="37" t="s">
        <v>24</v>
      </c>
      <c r="D23" s="37" t="s">
        <v>21</v>
      </c>
      <c r="E23" s="37">
        <v>388.56</v>
      </c>
      <c r="F23" s="37">
        <v>14</v>
      </c>
      <c r="G23" s="37">
        <v>0.15</v>
      </c>
      <c r="H23" s="38">
        <v>45416</v>
      </c>
      <c r="I23" s="37">
        <v>82.57</v>
      </c>
      <c r="J23" s="41">
        <f t="shared" ca="1" si="0"/>
        <v>46030.754757407405</v>
      </c>
    </row>
    <row r="24" spans="1:10" ht="16.5" customHeight="1" thickBot="1" x14ac:dyDescent="0.4">
      <c r="A24" s="37" t="s">
        <v>9</v>
      </c>
      <c r="B24" s="37" t="s">
        <v>31</v>
      </c>
      <c r="C24" s="37" t="s">
        <v>11</v>
      </c>
      <c r="D24" s="37" t="s">
        <v>12</v>
      </c>
      <c r="E24" s="37">
        <v>743.17</v>
      </c>
      <c r="F24" s="37">
        <v>9</v>
      </c>
      <c r="G24" s="37">
        <v>0</v>
      </c>
      <c r="H24" s="38">
        <v>45416</v>
      </c>
      <c r="I24" s="37">
        <v>297.27</v>
      </c>
      <c r="J24" s="41">
        <f t="shared" ca="1" si="0"/>
        <v>46030.754757407405</v>
      </c>
    </row>
    <row r="25" spans="1:10" ht="16.5" customHeight="1" thickBot="1" x14ac:dyDescent="0.4">
      <c r="A25" s="37" t="s">
        <v>40</v>
      </c>
      <c r="B25" s="37" t="s">
        <v>31</v>
      </c>
      <c r="C25" s="37" t="s">
        <v>34</v>
      </c>
      <c r="D25" s="37" t="s">
        <v>21</v>
      </c>
      <c r="E25" s="37">
        <v>706.37</v>
      </c>
      <c r="F25" s="37">
        <v>6</v>
      </c>
      <c r="G25" s="37">
        <v>0</v>
      </c>
      <c r="H25" s="38">
        <v>45416</v>
      </c>
      <c r="I25" s="37">
        <v>176.59</v>
      </c>
      <c r="J25" s="41">
        <f t="shared" ca="1" si="0"/>
        <v>46030.754757407405</v>
      </c>
    </row>
    <row r="26" spans="1:10" ht="16.5" customHeight="1" thickBot="1" x14ac:dyDescent="0.4">
      <c r="A26" s="37" t="s">
        <v>13</v>
      </c>
      <c r="B26" s="37" t="s">
        <v>31</v>
      </c>
      <c r="C26" s="37" t="s">
        <v>34</v>
      </c>
      <c r="D26" s="37" t="s">
        <v>39</v>
      </c>
      <c r="E26" s="37">
        <v>925.31</v>
      </c>
      <c r="F26" s="37">
        <v>8</v>
      </c>
      <c r="G26" s="37">
        <v>0.1</v>
      </c>
      <c r="H26" s="38">
        <v>45418</v>
      </c>
      <c r="I26" s="37">
        <v>374.75</v>
      </c>
      <c r="J26" s="41">
        <f t="shared" ca="1" si="0"/>
        <v>46030.754757407405</v>
      </c>
    </row>
    <row r="27" spans="1:10" ht="16.5" customHeight="1" thickBot="1" x14ac:dyDescent="0.4">
      <c r="A27" s="37" t="s">
        <v>35</v>
      </c>
      <c r="B27" s="37" t="s">
        <v>50</v>
      </c>
      <c r="C27" s="37" t="s">
        <v>20</v>
      </c>
      <c r="D27" s="37" t="s">
        <v>21</v>
      </c>
      <c r="E27" s="37">
        <v>1173.1199999999999</v>
      </c>
      <c r="F27" s="37">
        <v>18</v>
      </c>
      <c r="G27" s="37">
        <v>0</v>
      </c>
      <c r="H27" s="38">
        <v>45418</v>
      </c>
      <c r="I27" s="37">
        <v>293.27999999999997</v>
      </c>
      <c r="J27" s="41">
        <f t="shared" ca="1" si="0"/>
        <v>46030.754757407405</v>
      </c>
    </row>
    <row r="28" spans="1:10" ht="16.5" customHeight="1" thickBot="1" x14ac:dyDescent="0.4">
      <c r="A28" s="37" t="s">
        <v>22</v>
      </c>
      <c r="B28" s="37" t="s">
        <v>51</v>
      </c>
      <c r="C28" s="37" t="s">
        <v>24</v>
      </c>
      <c r="D28" s="37" t="s">
        <v>27</v>
      </c>
      <c r="E28" s="37">
        <v>675.54</v>
      </c>
      <c r="F28" s="37">
        <v>17</v>
      </c>
      <c r="G28" s="37">
        <v>0</v>
      </c>
      <c r="H28" s="38">
        <v>45420</v>
      </c>
      <c r="I28" s="37">
        <v>236.44</v>
      </c>
      <c r="J28" s="41">
        <f t="shared" ca="1" si="0"/>
        <v>46030.754757407405</v>
      </c>
    </row>
    <row r="29" spans="1:10" ht="16.5" customHeight="1" thickBot="1" x14ac:dyDescent="0.4">
      <c r="A29" s="37" t="s">
        <v>25</v>
      </c>
      <c r="B29" s="37" t="s">
        <v>14</v>
      </c>
      <c r="C29" s="37" t="s">
        <v>34</v>
      </c>
      <c r="D29" s="37" t="s">
        <v>12</v>
      </c>
      <c r="E29" s="37">
        <v>939.09</v>
      </c>
      <c r="F29" s="37">
        <v>2</v>
      </c>
      <c r="G29" s="37">
        <v>0.05</v>
      </c>
      <c r="H29" s="38">
        <v>45422</v>
      </c>
      <c r="I29" s="37">
        <v>356.85</v>
      </c>
      <c r="J29" s="41">
        <f t="shared" ca="1" si="0"/>
        <v>46030.754757407405</v>
      </c>
    </row>
    <row r="30" spans="1:10" ht="16.5" customHeight="1" thickBot="1" x14ac:dyDescent="0.4">
      <c r="A30" s="37" t="s">
        <v>52</v>
      </c>
      <c r="B30" s="37" t="s">
        <v>53</v>
      </c>
      <c r="C30" s="37" t="s">
        <v>18</v>
      </c>
      <c r="D30" s="37" t="s">
        <v>39</v>
      </c>
      <c r="E30" s="37">
        <v>983.34</v>
      </c>
      <c r="F30" s="37">
        <v>19</v>
      </c>
      <c r="G30" s="37">
        <v>0.1</v>
      </c>
      <c r="H30" s="38">
        <v>45426</v>
      </c>
      <c r="I30" s="37">
        <v>398.25</v>
      </c>
      <c r="J30" s="41">
        <f t="shared" ca="1" si="0"/>
        <v>46030.754757407405</v>
      </c>
    </row>
    <row r="31" spans="1:10" ht="16.5" customHeight="1" thickBot="1" x14ac:dyDescent="0.4">
      <c r="A31" s="37" t="s">
        <v>52</v>
      </c>
      <c r="B31" s="37" t="s">
        <v>23</v>
      </c>
      <c r="C31" s="37" t="s">
        <v>20</v>
      </c>
      <c r="D31" s="37" t="s">
        <v>21</v>
      </c>
      <c r="E31" s="37">
        <v>801.21</v>
      </c>
      <c r="F31" s="37">
        <v>3</v>
      </c>
      <c r="G31" s="37">
        <v>0.2</v>
      </c>
      <c r="H31" s="38">
        <v>45426</v>
      </c>
      <c r="I31" s="37">
        <v>160.24</v>
      </c>
      <c r="J31" s="41">
        <f t="shared" ca="1" si="0"/>
        <v>46030.754757407405</v>
      </c>
    </row>
    <row r="32" spans="1:10" ht="16.5" customHeight="1" thickBot="1" x14ac:dyDescent="0.4">
      <c r="A32" s="37" t="s">
        <v>54</v>
      </c>
      <c r="B32" s="37" t="s">
        <v>55</v>
      </c>
      <c r="C32" s="37" t="s">
        <v>24</v>
      </c>
      <c r="D32" s="37" t="s">
        <v>21</v>
      </c>
      <c r="E32" s="37">
        <v>1450.71</v>
      </c>
      <c r="F32" s="37">
        <v>5</v>
      </c>
      <c r="G32" s="37">
        <v>0.1</v>
      </c>
      <c r="H32" s="38">
        <v>45427</v>
      </c>
      <c r="I32" s="37">
        <v>326.41000000000003</v>
      </c>
      <c r="J32" s="41">
        <f t="shared" ca="1" si="0"/>
        <v>46030.754757407405</v>
      </c>
    </row>
    <row r="33" spans="1:10" ht="16.5" customHeight="1" thickBot="1" x14ac:dyDescent="0.4">
      <c r="A33" s="37" t="s">
        <v>49</v>
      </c>
      <c r="B33" s="37" t="s">
        <v>56</v>
      </c>
      <c r="C33" s="37" t="s">
        <v>34</v>
      </c>
      <c r="D33" s="37" t="s">
        <v>12</v>
      </c>
      <c r="E33" s="37">
        <v>1023.21</v>
      </c>
      <c r="F33" s="37">
        <v>18</v>
      </c>
      <c r="G33" s="37">
        <v>0.05</v>
      </c>
      <c r="H33" s="38">
        <v>45428</v>
      </c>
      <c r="I33" s="37">
        <v>388.82</v>
      </c>
      <c r="J33" s="41">
        <f t="shared" ca="1" si="0"/>
        <v>46030.754757407405</v>
      </c>
    </row>
    <row r="34" spans="1:10" ht="16.5" customHeight="1" thickBot="1" x14ac:dyDescent="0.4">
      <c r="A34" s="37" t="s">
        <v>28</v>
      </c>
      <c r="B34" s="37" t="s">
        <v>47</v>
      </c>
      <c r="C34" s="37" t="s">
        <v>11</v>
      </c>
      <c r="D34" s="37" t="s">
        <v>27</v>
      </c>
      <c r="E34" s="37">
        <v>853.72</v>
      </c>
      <c r="F34" s="37">
        <v>5</v>
      </c>
      <c r="G34" s="37">
        <v>0.15</v>
      </c>
      <c r="H34" s="38">
        <v>45428</v>
      </c>
      <c r="I34" s="37">
        <v>253.98</v>
      </c>
      <c r="J34" s="41">
        <f t="shared" ca="1" si="0"/>
        <v>46030.754757407405</v>
      </c>
    </row>
    <row r="35" spans="1:10" ht="16.5" customHeight="1" thickBot="1" x14ac:dyDescent="0.4">
      <c r="A35" s="37" t="s">
        <v>57</v>
      </c>
      <c r="B35" s="37" t="s">
        <v>43</v>
      </c>
      <c r="C35" s="37" t="s">
        <v>20</v>
      </c>
      <c r="D35" s="37" t="s">
        <v>21</v>
      </c>
      <c r="E35" s="37">
        <v>967.89</v>
      </c>
      <c r="F35" s="37">
        <v>10</v>
      </c>
      <c r="G35" s="37">
        <v>0.1</v>
      </c>
      <c r="H35" s="38">
        <v>45429</v>
      </c>
      <c r="I35" s="37">
        <v>217.78</v>
      </c>
      <c r="J35" s="41">
        <f t="shared" ca="1" si="0"/>
        <v>46030.754757407405</v>
      </c>
    </row>
    <row r="36" spans="1:10" ht="16.5" customHeight="1" thickBot="1" x14ac:dyDescent="0.4">
      <c r="A36" s="37" t="s">
        <v>58</v>
      </c>
      <c r="B36" s="37" t="s">
        <v>53</v>
      </c>
      <c r="C36" s="37" t="s">
        <v>24</v>
      </c>
      <c r="D36" s="37" t="s">
        <v>39</v>
      </c>
      <c r="E36" s="37">
        <v>1200.9000000000001</v>
      </c>
      <c r="F36" s="37">
        <v>14</v>
      </c>
      <c r="G36" s="37">
        <v>0.05</v>
      </c>
      <c r="H36" s="38">
        <v>45429</v>
      </c>
      <c r="I36" s="37">
        <v>513.38</v>
      </c>
      <c r="J36" s="41">
        <f t="shared" ca="1" si="0"/>
        <v>46030.754757407405</v>
      </c>
    </row>
    <row r="37" spans="1:10" ht="16.5" customHeight="1" thickBot="1" x14ac:dyDescent="0.4">
      <c r="A37" s="37" t="s">
        <v>13</v>
      </c>
      <c r="B37" s="37" t="s">
        <v>26</v>
      </c>
      <c r="C37" s="37" t="s">
        <v>11</v>
      </c>
      <c r="D37" s="37" t="s">
        <v>12</v>
      </c>
      <c r="E37" s="37">
        <v>472.38</v>
      </c>
      <c r="F37" s="37">
        <v>12</v>
      </c>
      <c r="G37" s="37">
        <v>0.2</v>
      </c>
      <c r="H37" s="38">
        <v>45429</v>
      </c>
      <c r="I37" s="37">
        <v>151.16</v>
      </c>
      <c r="J37" s="41">
        <f t="shared" ca="1" si="0"/>
        <v>46030.754757407405</v>
      </c>
    </row>
    <row r="38" spans="1:10" ht="16.5" customHeight="1" thickBot="1" x14ac:dyDescent="0.4">
      <c r="A38" s="37" t="s">
        <v>9</v>
      </c>
      <c r="B38" s="37" t="s">
        <v>55</v>
      </c>
      <c r="C38" s="37" t="s">
        <v>18</v>
      </c>
      <c r="D38" s="37" t="s">
        <v>39</v>
      </c>
      <c r="E38" s="37">
        <v>840.92</v>
      </c>
      <c r="F38" s="37">
        <v>9</v>
      </c>
      <c r="G38" s="37">
        <v>0.05</v>
      </c>
      <c r="H38" s="38">
        <v>45429</v>
      </c>
      <c r="I38" s="37">
        <v>359.49</v>
      </c>
      <c r="J38" s="41">
        <f t="shared" ca="1" si="0"/>
        <v>46030.754757407405</v>
      </c>
    </row>
    <row r="39" spans="1:10" ht="16.5" customHeight="1" thickBot="1" x14ac:dyDescent="0.4">
      <c r="A39" s="37" t="s">
        <v>52</v>
      </c>
      <c r="B39" s="37" t="s">
        <v>48</v>
      </c>
      <c r="C39" s="37" t="s">
        <v>34</v>
      </c>
      <c r="D39" s="37" t="s">
        <v>27</v>
      </c>
      <c r="E39" s="37">
        <v>1410.06</v>
      </c>
      <c r="F39" s="37">
        <v>11</v>
      </c>
      <c r="G39" s="37">
        <v>0.05</v>
      </c>
      <c r="H39" s="38">
        <v>45434</v>
      </c>
      <c r="I39" s="37">
        <v>468.84</v>
      </c>
      <c r="J39" s="41">
        <f t="shared" ca="1" si="0"/>
        <v>46030.754757407405</v>
      </c>
    </row>
    <row r="40" spans="1:10" ht="16.5" customHeight="1" thickBot="1" x14ac:dyDescent="0.4">
      <c r="A40" s="37" t="s">
        <v>44</v>
      </c>
      <c r="B40" s="37" t="s">
        <v>59</v>
      </c>
      <c r="C40" s="37" t="s">
        <v>34</v>
      </c>
      <c r="D40" s="37" t="s">
        <v>27</v>
      </c>
      <c r="E40" s="37">
        <v>773.09</v>
      </c>
      <c r="F40" s="37">
        <v>13</v>
      </c>
      <c r="G40" s="37">
        <v>0.15</v>
      </c>
      <c r="H40" s="38">
        <v>45434</v>
      </c>
      <c r="I40" s="37">
        <v>229.99</v>
      </c>
      <c r="J40" s="41">
        <f t="shared" ca="1" si="0"/>
        <v>46030.754757407405</v>
      </c>
    </row>
    <row r="41" spans="1:10" ht="16.5" customHeight="1" thickBot="1" x14ac:dyDescent="0.4">
      <c r="A41" s="37" t="s">
        <v>60</v>
      </c>
      <c r="B41" s="37" t="s">
        <v>61</v>
      </c>
      <c r="C41" s="37" t="s">
        <v>18</v>
      </c>
      <c r="D41" s="37" t="s">
        <v>12</v>
      </c>
      <c r="E41" s="37">
        <v>580.42999999999995</v>
      </c>
      <c r="F41" s="37">
        <v>19</v>
      </c>
      <c r="G41" s="37">
        <v>0.15</v>
      </c>
      <c r="H41" s="38">
        <v>45435</v>
      </c>
      <c r="I41" s="37">
        <v>197.35</v>
      </c>
      <c r="J41" s="41">
        <f t="shared" ca="1" si="0"/>
        <v>46030.754757407405</v>
      </c>
    </row>
    <row r="42" spans="1:10" ht="16.5" customHeight="1" thickBot="1" x14ac:dyDescent="0.4">
      <c r="A42" s="37" t="s">
        <v>19</v>
      </c>
      <c r="B42" s="37" t="s">
        <v>42</v>
      </c>
      <c r="C42" s="37" t="s">
        <v>20</v>
      </c>
      <c r="D42" s="37" t="s">
        <v>12</v>
      </c>
      <c r="E42" s="37">
        <v>1151.21</v>
      </c>
      <c r="F42" s="37">
        <v>15</v>
      </c>
      <c r="G42" s="37">
        <v>0.1</v>
      </c>
      <c r="H42" s="38">
        <v>45445</v>
      </c>
      <c r="I42" s="37">
        <v>414.44</v>
      </c>
      <c r="J42" s="41">
        <f t="shared" ca="1" si="0"/>
        <v>46030.754757407405</v>
      </c>
    </row>
    <row r="43" spans="1:10" ht="16.5" customHeight="1" thickBot="1" x14ac:dyDescent="0.4">
      <c r="A43" s="37" t="s">
        <v>52</v>
      </c>
      <c r="B43" s="37" t="s">
        <v>23</v>
      </c>
      <c r="C43" s="37" t="s">
        <v>34</v>
      </c>
      <c r="D43" s="37" t="s">
        <v>39</v>
      </c>
      <c r="E43" s="37">
        <v>1025.98</v>
      </c>
      <c r="F43" s="37">
        <v>5</v>
      </c>
      <c r="G43" s="37">
        <v>0.2</v>
      </c>
      <c r="H43" s="38">
        <v>45447</v>
      </c>
      <c r="I43" s="37">
        <v>369.35</v>
      </c>
      <c r="J43" s="41">
        <f t="shared" ca="1" si="0"/>
        <v>46030.754757407405</v>
      </c>
    </row>
    <row r="44" spans="1:10" ht="16.5" customHeight="1" thickBot="1" x14ac:dyDescent="0.4">
      <c r="A44" s="37" t="s">
        <v>40</v>
      </c>
      <c r="B44" s="37" t="s">
        <v>56</v>
      </c>
      <c r="C44" s="37" t="s">
        <v>18</v>
      </c>
      <c r="D44" s="37" t="s">
        <v>39</v>
      </c>
      <c r="E44" s="37">
        <v>556.41999999999996</v>
      </c>
      <c r="F44" s="37">
        <v>11</v>
      </c>
      <c r="G44" s="37">
        <v>0.15</v>
      </c>
      <c r="H44" s="38">
        <v>45447</v>
      </c>
      <c r="I44" s="37">
        <v>212.83</v>
      </c>
      <c r="J44" s="41">
        <f t="shared" ca="1" si="0"/>
        <v>46030.754757407405</v>
      </c>
    </row>
    <row r="45" spans="1:10" ht="16.5" customHeight="1" thickBot="1" x14ac:dyDescent="0.4">
      <c r="A45" s="37" t="s">
        <v>57</v>
      </c>
      <c r="B45" s="37" t="s">
        <v>23</v>
      </c>
      <c r="C45" s="37" t="s">
        <v>34</v>
      </c>
      <c r="D45" s="37" t="s">
        <v>12</v>
      </c>
      <c r="E45" s="37">
        <v>840.85</v>
      </c>
      <c r="F45" s="37">
        <v>19</v>
      </c>
      <c r="G45" s="37">
        <v>0.1</v>
      </c>
      <c r="H45" s="38">
        <v>45448</v>
      </c>
      <c r="I45" s="37">
        <v>302.70999999999998</v>
      </c>
      <c r="J45" s="41">
        <f t="shared" ca="1" si="0"/>
        <v>46030.754757407405</v>
      </c>
    </row>
    <row r="46" spans="1:10" ht="16.5" customHeight="1" thickBot="1" x14ac:dyDescent="0.4">
      <c r="A46" s="37" t="s">
        <v>30</v>
      </c>
      <c r="B46" s="37" t="s">
        <v>61</v>
      </c>
      <c r="C46" s="37" t="s">
        <v>24</v>
      </c>
      <c r="D46" s="37" t="s">
        <v>27</v>
      </c>
      <c r="E46" s="37">
        <v>1227.25</v>
      </c>
      <c r="F46" s="37">
        <v>12</v>
      </c>
      <c r="G46" s="37">
        <v>0.15</v>
      </c>
      <c r="H46" s="38">
        <v>45448</v>
      </c>
      <c r="I46" s="37">
        <v>365.11</v>
      </c>
      <c r="J46" s="41">
        <f t="shared" ca="1" si="0"/>
        <v>46030.754757407405</v>
      </c>
    </row>
    <row r="47" spans="1:10" ht="16.5" customHeight="1" thickBot="1" x14ac:dyDescent="0.4">
      <c r="A47" s="37" t="s">
        <v>16</v>
      </c>
      <c r="B47" s="37" t="s">
        <v>62</v>
      </c>
      <c r="C47" s="37" t="s">
        <v>34</v>
      </c>
      <c r="D47" s="37" t="s">
        <v>21</v>
      </c>
      <c r="E47" s="37">
        <v>856.7</v>
      </c>
      <c r="F47" s="37">
        <v>2</v>
      </c>
      <c r="G47" s="37">
        <v>0</v>
      </c>
      <c r="H47" s="38">
        <v>45449</v>
      </c>
      <c r="I47" s="37">
        <v>214.18</v>
      </c>
      <c r="J47" s="41">
        <f t="shared" ca="1" si="0"/>
        <v>46030.754757407405</v>
      </c>
    </row>
    <row r="48" spans="1:10" ht="16.5" customHeight="1" thickBot="1" x14ac:dyDescent="0.4">
      <c r="A48" s="37" t="s">
        <v>54</v>
      </c>
      <c r="B48" s="37" t="s">
        <v>56</v>
      </c>
      <c r="C48" s="37" t="s">
        <v>34</v>
      </c>
      <c r="D48" s="37" t="s">
        <v>39</v>
      </c>
      <c r="E48" s="37">
        <v>1225.42</v>
      </c>
      <c r="F48" s="37">
        <v>8</v>
      </c>
      <c r="G48" s="37">
        <v>0.15</v>
      </c>
      <c r="H48" s="38">
        <v>45449</v>
      </c>
      <c r="I48" s="37">
        <v>468.72</v>
      </c>
      <c r="J48" s="41">
        <f t="shared" ca="1" si="0"/>
        <v>46030.754757407405</v>
      </c>
    </row>
    <row r="49" spans="1:10" ht="16.5" customHeight="1" thickBot="1" x14ac:dyDescent="0.4">
      <c r="A49" s="37" t="s">
        <v>63</v>
      </c>
      <c r="B49" s="37" t="s">
        <v>31</v>
      </c>
      <c r="C49" s="37" t="s">
        <v>24</v>
      </c>
      <c r="D49" s="37" t="s">
        <v>39</v>
      </c>
      <c r="E49" s="37">
        <v>1001.57</v>
      </c>
      <c r="F49" s="37">
        <v>12</v>
      </c>
      <c r="G49" s="37">
        <v>0</v>
      </c>
      <c r="H49" s="38">
        <v>45450</v>
      </c>
      <c r="I49" s="37">
        <v>450.71</v>
      </c>
      <c r="J49" s="41">
        <f t="shared" ca="1" si="0"/>
        <v>46030.754757407405</v>
      </c>
    </row>
    <row r="50" spans="1:10" ht="16.5" customHeight="1" thickBot="1" x14ac:dyDescent="0.4">
      <c r="A50" s="37" t="s">
        <v>57</v>
      </c>
      <c r="B50" s="37" t="s">
        <v>26</v>
      </c>
      <c r="C50" s="37" t="s">
        <v>18</v>
      </c>
      <c r="D50" s="37" t="s">
        <v>27</v>
      </c>
      <c r="E50" s="37">
        <v>1186.8499999999999</v>
      </c>
      <c r="F50" s="37">
        <v>19</v>
      </c>
      <c r="G50" s="37">
        <v>0.2</v>
      </c>
      <c r="H50" s="38">
        <v>45451</v>
      </c>
      <c r="I50" s="37">
        <v>332.32</v>
      </c>
      <c r="J50" s="41">
        <f t="shared" ca="1" si="0"/>
        <v>46030.754757407405</v>
      </c>
    </row>
    <row r="51" spans="1:10" ht="16.5" customHeight="1" thickBot="1" x14ac:dyDescent="0.4">
      <c r="A51" s="37" t="s">
        <v>44</v>
      </c>
      <c r="B51" s="37" t="s">
        <v>51</v>
      </c>
      <c r="C51" s="37" t="s">
        <v>20</v>
      </c>
      <c r="D51" s="37" t="s">
        <v>21</v>
      </c>
      <c r="E51" s="37">
        <v>775.45</v>
      </c>
      <c r="F51" s="37">
        <v>6</v>
      </c>
      <c r="G51" s="37">
        <v>0.1</v>
      </c>
      <c r="H51" s="38">
        <v>45457</v>
      </c>
      <c r="I51" s="37">
        <v>174.48</v>
      </c>
      <c r="J51" s="41">
        <f t="shared" ca="1" si="0"/>
        <v>46030.754757407405</v>
      </c>
    </row>
    <row r="52" spans="1:10" ht="16.5" customHeight="1" thickBot="1" x14ac:dyDescent="0.4">
      <c r="A52" s="37" t="s">
        <v>25</v>
      </c>
      <c r="B52" s="37" t="s">
        <v>33</v>
      </c>
      <c r="C52" s="37" t="s">
        <v>20</v>
      </c>
      <c r="D52" s="37" t="s">
        <v>21</v>
      </c>
      <c r="E52" s="37">
        <v>1021.47</v>
      </c>
      <c r="F52" s="37">
        <v>6</v>
      </c>
      <c r="G52" s="37">
        <v>0.05</v>
      </c>
      <c r="H52" s="38">
        <v>45461</v>
      </c>
      <c r="I52" s="37">
        <v>242.6</v>
      </c>
      <c r="J52" s="41">
        <f t="shared" ca="1" si="0"/>
        <v>46030.754757407405</v>
      </c>
    </row>
    <row r="53" spans="1:10" ht="16.5" customHeight="1" thickBot="1" x14ac:dyDescent="0.4">
      <c r="A53" s="37" t="s">
        <v>58</v>
      </c>
      <c r="B53" s="37" t="s">
        <v>23</v>
      </c>
      <c r="C53" s="37" t="s">
        <v>20</v>
      </c>
      <c r="D53" s="37" t="s">
        <v>15</v>
      </c>
      <c r="E53" s="37">
        <v>1226.6199999999999</v>
      </c>
      <c r="F53" s="37">
        <v>7</v>
      </c>
      <c r="G53" s="37">
        <v>0.1</v>
      </c>
      <c r="H53" s="38">
        <v>45463</v>
      </c>
      <c r="I53" s="37">
        <v>551.98</v>
      </c>
      <c r="J53" s="41">
        <f t="shared" ca="1" si="0"/>
        <v>46030.754757407405</v>
      </c>
    </row>
    <row r="54" spans="1:10" ht="16.5" customHeight="1" thickBot="1" x14ac:dyDescent="0.4">
      <c r="A54" s="37" t="s">
        <v>22</v>
      </c>
      <c r="B54" s="37" t="s">
        <v>64</v>
      </c>
      <c r="C54" s="37" t="s">
        <v>20</v>
      </c>
      <c r="D54" s="37" t="s">
        <v>27</v>
      </c>
      <c r="E54" s="37">
        <v>1086.93</v>
      </c>
      <c r="F54" s="37">
        <v>2</v>
      </c>
      <c r="G54" s="37">
        <v>0</v>
      </c>
      <c r="H54" s="38">
        <v>45464</v>
      </c>
      <c r="I54" s="37">
        <v>380.43</v>
      </c>
      <c r="J54" s="41">
        <f t="shared" ca="1" si="0"/>
        <v>46030.754757407405</v>
      </c>
    </row>
    <row r="55" spans="1:10" ht="16.5" customHeight="1" thickBot="1" x14ac:dyDescent="0.4">
      <c r="A55" s="37" t="s">
        <v>65</v>
      </c>
      <c r="B55" s="37" t="s">
        <v>48</v>
      </c>
      <c r="C55" s="37" t="s">
        <v>11</v>
      </c>
      <c r="D55" s="37" t="s">
        <v>12</v>
      </c>
      <c r="E55" s="37">
        <v>942.9</v>
      </c>
      <c r="F55" s="37">
        <v>18</v>
      </c>
      <c r="G55" s="37">
        <v>0.1</v>
      </c>
      <c r="H55" s="38">
        <v>45466</v>
      </c>
      <c r="I55" s="37">
        <v>339.44</v>
      </c>
      <c r="J55" s="41">
        <f t="shared" ca="1" si="0"/>
        <v>46030.754757407405</v>
      </c>
    </row>
    <row r="56" spans="1:10" ht="16.5" customHeight="1" thickBot="1" x14ac:dyDescent="0.4">
      <c r="A56" s="37" t="s">
        <v>32</v>
      </c>
      <c r="B56" s="37" t="s">
        <v>38</v>
      </c>
      <c r="C56" s="37" t="s">
        <v>24</v>
      </c>
      <c r="D56" s="37" t="s">
        <v>21</v>
      </c>
      <c r="E56" s="37">
        <v>818.8</v>
      </c>
      <c r="F56" s="37">
        <v>15</v>
      </c>
      <c r="G56" s="37">
        <v>0.15</v>
      </c>
      <c r="H56" s="38">
        <v>45468</v>
      </c>
      <c r="I56" s="37">
        <v>173.99</v>
      </c>
      <c r="J56" s="41">
        <f t="shared" ca="1" si="0"/>
        <v>46030.754757407405</v>
      </c>
    </row>
    <row r="57" spans="1:10" ht="16.5" customHeight="1" thickBot="1" x14ac:dyDescent="0.4">
      <c r="A57" s="37" t="s">
        <v>19</v>
      </c>
      <c r="B57" s="37" t="s">
        <v>14</v>
      </c>
      <c r="C57" s="37" t="s">
        <v>20</v>
      </c>
      <c r="D57" s="37" t="s">
        <v>27</v>
      </c>
      <c r="E57" s="37">
        <v>919.04</v>
      </c>
      <c r="F57" s="37">
        <v>10</v>
      </c>
      <c r="G57" s="37">
        <v>0.2</v>
      </c>
      <c r="H57" s="38">
        <v>45468</v>
      </c>
      <c r="I57" s="37">
        <v>257.33</v>
      </c>
      <c r="J57" s="41">
        <f t="shared" ca="1" si="0"/>
        <v>46030.754757407405</v>
      </c>
    </row>
    <row r="58" spans="1:10" ht="16.5" customHeight="1" thickBot="1" x14ac:dyDescent="0.4">
      <c r="A58" s="37" t="s">
        <v>22</v>
      </c>
      <c r="B58" s="37" t="s">
        <v>66</v>
      </c>
      <c r="C58" s="37" t="s">
        <v>34</v>
      </c>
      <c r="D58" s="37" t="s">
        <v>12</v>
      </c>
      <c r="E58" s="37">
        <v>973.26</v>
      </c>
      <c r="F58" s="37">
        <v>11</v>
      </c>
      <c r="G58" s="37">
        <v>0</v>
      </c>
      <c r="H58" s="38">
        <v>45470</v>
      </c>
      <c r="I58" s="37">
        <v>389.3</v>
      </c>
      <c r="J58" s="41">
        <f t="shared" ca="1" si="0"/>
        <v>46030.754757407405</v>
      </c>
    </row>
    <row r="59" spans="1:10" ht="16.5" customHeight="1" thickBot="1" x14ac:dyDescent="0.4">
      <c r="A59" s="37" t="s">
        <v>41</v>
      </c>
      <c r="B59" s="37" t="s">
        <v>64</v>
      </c>
      <c r="C59" s="37" t="s">
        <v>24</v>
      </c>
      <c r="D59" s="37" t="s">
        <v>21</v>
      </c>
      <c r="E59" s="37">
        <v>741.61</v>
      </c>
      <c r="F59" s="37">
        <v>1</v>
      </c>
      <c r="G59" s="37">
        <v>0.2</v>
      </c>
      <c r="H59" s="38">
        <v>45471</v>
      </c>
      <c r="I59" s="37">
        <v>148.32</v>
      </c>
      <c r="J59" s="41">
        <f t="shared" ca="1" si="0"/>
        <v>46030.754757407405</v>
      </c>
    </row>
    <row r="60" spans="1:10" ht="16.5" customHeight="1" thickBot="1" x14ac:dyDescent="0.4">
      <c r="A60" s="37" t="s">
        <v>67</v>
      </c>
      <c r="B60" s="37" t="s">
        <v>38</v>
      </c>
      <c r="C60" s="37" t="s">
        <v>24</v>
      </c>
      <c r="D60" s="37" t="s">
        <v>12</v>
      </c>
      <c r="E60" s="37">
        <v>1248.82</v>
      </c>
      <c r="F60" s="37">
        <v>2</v>
      </c>
      <c r="G60" s="37">
        <v>0.1</v>
      </c>
      <c r="H60" s="38">
        <v>45473</v>
      </c>
      <c r="I60" s="37">
        <v>449.58</v>
      </c>
      <c r="J60" s="41">
        <f t="shared" ca="1" si="0"/>
        <v>46030.754757407405</v>
      </c>
    </row>
    <row r="61" spans="1:10" ht="16.5" customHeight="1" thickBot="1" x14ac:dyDescent="0.4">
      <c r="A61" s="37" t="s">
        <v>13</v>
      </c>
      <c r="B61" s="37" t="s">
        <v>59</v>
      </c>
      <c r="C61" s="37" t="s">
        <v>11</v>
      </c>
      <c r="D61" s="37" t="s">
        <v>15</v>
      </c>
      <c r="E61" s="37">
        <v>1360.36</v>
      </c>
      <c r="F61" s="37">
        <v>17</v>
      </c>
      <c r="G61" s="37">
        <v>0</v>
      </c>
      <c r="H61" s="38">
        <v>45473</v>
      </c>
      <c r="I61" s="37">
        <v>680.18</v>
      </c>
      <c r="J61" s="41">
        <f t="shared" ca="1" si="0"/>
        <v>46030.754757407405</v>
      </c>
    </row>
    <row r="62" spans="1:10" ht="16.5" customHeight="1" thickBot="1" x14ac:dyDescent="0.4">
      <c r="A62" s="37" t="s">
        <v>57</v>
      </c>
      <c r="B62" s="37" t="s">
        <v>31</v>
      </c>
      <c r="C62" s="37" t="s">
        <v>18</v>
      </c>
      <c r="D62" s="37" t="s">
        <v>12</v>
      </c>
      <c r="E62" s="37">
        <v>1383.3</v>
      </c>
      <c r="F62" s="37">
        <v>8</v>
      </c>
      <c r="G62" s="37">
        <v>0.1</v>
      </c>
      <c r="H62" s="38">
        <v>45478</v>
      </c>
      <c r="I62" s="37">
        <v>497.99</v>
      </c>
      <c r="J62" s="41">
        <f t="shared" ca="1" si="0"/>
        <v>46030.754757407405</v>
      </c>
    </row>
    <row r="63" spans="1:10" ht="16.5" customHeight="1" thickBot="1" x14ac:dyDescent="0.4">
      <c r="A63" s="37" t="s">
        <v>35</v>
      </c>
      <c r="B63" s="37" t="s">
        <v>55</v>
      </c>
      <c r="C63" s="37" t="s">
        <v>34</v>
      </c>
      <c r="D63" s="37" t="s">
        <v>39</v>
      </c>
      <c r="E63" s="37">
        <v>488.99</v>
      </c>
      <c r="F63" s="37">
        <v>9</v>
      </c>
      <c r="G63" s="37">
        <v>0</v>
      </c>
      <c r="H63" s="38">
        <v>45479</v>
      </c>
      <c r="I63" s="37">
        <v>220.05</v>
      </c>
      <c r="J63" s="41">
        <f t="shared" ca="1" si="0"/>
        <v>46030.754757407405</v>
      </c>
    </row>
    <row r="64" spans="1:10" ht="16.5" customHeight="1" thickBot="1" x14ac:dyDescent="0.4">
      <c r="A64" s="37" t="s">
        <v>30</v>
      </c>
      <c r="B64" s="37" t="s">
        <v>31</v>
      </c>
      <c r="C64" s="37" t="s">
        <v>18</v>
      </c>
      <c r="D64" s="37" t="s">
        <v>27</v>
      </c>
      <c r="E64" s="37">
        <v>933.71</v>
      </c>
      <c r="F64" s="37">
        <v>17</v>
      </c>
      <c r="G64" s="37">
        <v>0.1</v>
      </c>
      <c r="H64" s="38">
        <v>45481</v>
      </c>
      <c r="I64" s="37">
        <v>294.12</v>
      </c>
      <c r="J64" s="41">
        <f t="shared" ca="1" si="0"/>
        <v>46030.754757407405</v>
      </c>
    </row>
    <row r="65" spans="1:10" ht="16.5" customHeight="1" thickBot="1" x14ac:dyDescent="0.4">
      <c r="A65" s="37" t="s">
        <v>67</v>
      </c>
      <c r="B65" s="37" t="s">
        <v>10</v>
      </c>
      <c r="C65" s="37" t="s">
        <v>11</v>
      </c>
      <c r="D65" s="37" t="s">
        <v>21</v>
      </c>
      <c r="E65" s="37">
        <v>1005.53</v>
      </c>
      <c r="F65" s="37">
        <v>17</v>
      </c>
      <c r="G65" s="37">
        <v>0.2</v>
      </c>
      <c r="H65" s="38">
        <v>45481</v>
      </c>
      <c r="I65" s="37">
        <v>201.11</v>
      </c>
      <c r="J65" s="41">
        <f t="shared" ca="1" si="0"/>
        <v>46030.754757407405</v>
      </c>
    </row>
    <row r="66" spans="1:10" ht="16.5" customHeight="1" thickBot="1" x14ac:dyDescent="0.4">
      <c r="A66" s="37" t="s">
        <v>41</v>
      </c>
      <c r="B66" s="37" t="s">
        <v>61</v>
      </c>
      <c r="C66" s="37" t="s">
        <v>20</v>
      </c>
      <c r="D66" s="37" t="s">
        <v>21</v>
      </c>
      <c r="E66" s="37">
        <v>1100.0999999999999</v>
      </c>
      <c r="F66" s="37">
        <v>5</v>
      </c>
      <c r="G66" s="37">
        <v>0.05</v>
      </c>
      <c r="H66" s="38">
        <v>45482</v>
      </c>
      <c r="I66" s="37">
        <v>261.27</v>
      </c>
      <c r="J66" s="41">
        <f t="shared" ca="1" si="0"/>
        <v>46030.754757407405</v>
      </c>
    </row>
    <row r="67" spans="1:10" ht="16.5" customHeight="1" thickBot="1" x14ac:dyDescent="0.4">
      <c r="A67" s="37" t="s">
        <v>67</v>
      </c>
      <c r="B67" s="37" t="s">
        <v>23</v>
      </c>
      <c r="C67" s="37" t="s">
        <v>24</v>
      </c>
      <c r="D67" s="37" t="s">
        <v>27</v>
      </c>
      <c r="E67" s="37">
        <v>1034.7</v>
      </c>
      <c r="F67" s="37">
        <v>15</v>
      </c>
      <c r="G67" s="37">
        <v>0.15</v>
      </c>
      <c r="H67" s="38">
        <v>45487</v>
      </c>
      <c r="I67" s="37">
        <v>307.82</v>
      </c>
      <c r="J67" s="41">
        <f t="shared" ref="J67:J130" ca="1" si="1">NOW()</f>
        <v>46030.754757407405</v>
      </c>
    </row>
    <row r="68" spans="1:10" ht="16.5" customHeight="1" thickBot="1" x14ac:dyDescent="0.4">
      <c r="A68" s="37" t="s">
        <v>65</v>
      </c>
      <c r="B68" s="37" t="s">
        <v>31</v>
      </c>
      <c r="C68" s="37" t="s">
        <v>20</v>
      </c>
      <c r="D68" s="37" t="s">
        <v>12</v>
      </c>
      <c r="E68" s="37">
        <v>876.44</v>
      </c>
      <c r="F68" s="37">
        <v>12</v>
      </c>
      <c r="G68" s="37">
        <v>0.05</v>
      </c>
      <c r="H68" s="38">
        <v>45488</v>
      </c>
      <c r="I68" s="37">
        <v>333.05</v>
      </c>
      <c r="J68" s="41">
        <f t="shared" ca="1" si="1"/>
        <v>46030.754757407405</v>
      </c>
    </row>
    <row r="69" spans="1:10" ht="16.5" customHeight="1" thickBot="1" x14ac:dyDescent="0.4">
      <c r="A69" s="37" t="s">
        <v>68</v>
      </c>
      <c r="B69" s="37" t="s">
        <v>55</v>
      </c>
      <c r="C69" s="37" t="s">
        <v>11</v>
      </c>
      <c r="D69" s="37" t="s">
        <v>27</v>
      </c>
      <c r="E69" s="37">
        <v>1371.34</v>
      </c>
      <c r="F69" s="37">
        <v>5</v>
      </c>
      <c r="G69" s="37">
        <v>0.05</v>
      </c>
      <c r="H69" s="38">
        <v>45488</v>
      </c>
      <c r="I69" s="37">
        <v>455.97</v>
      </c>
      <c r="J69" s="41">
        <f t="shared" ca="1" si="1"/>
        <v>46030.754757407405</v>
      </c>
    </row>
    <row r="70" spans="1:10" ht="16.5" customHeight="1" thickBot="1" x14ac:dyDescent="0.4">
      <c r="A70" s="37" t="s">
        <v>57</v>
      </c>
      <c r="B70" s="37" t="s">
        <v>47</v>
      </c>
      <c r="C70" s="37" t="s">
        <v>24</v>
      </c>
      <c r="D70" s="37" t="s">
        <v>21</v>
      </c>
      <c r="E70" s="37">
        <v>1020.26</v>
      </c>
      <c r="F70" s="37">
        <v>11</v>
      </c>
      <c r="G70" s="37">
        <v>0.05</v>
      </c>
      <c r="H70" s="38">
        <v>45494</v>
      </c>
      <c r="I70" s="37">
        <v>242.31</v>
      </c>
      <c r="J70" s="41">
        <f t="shared" ca="1" si="1"/>
        <v>46030.754757407405</v>
      </c>
    </row>
    <row r="71" spans="1:10" ht="16.5" customHeight="1" thickBot="1" x14ac:dyDescent="0.4">
      <c r="A71" s="37" t="s">
        <v>44</v>
      </c>
      <c r="B71" s="37" t="s">
        <v>10</v>
      </c>
      <c r="C71" s="37" t="s">
        <v>34</v>
      </c>
      <c r="D71" s="37" t="s">
        <v>39</v>
      </c>
      <c r="E71" s="37">
        <v>804.81</v>
      </c>
      <c r="F71" s="37">
        <v>1</v>
      </c>
      <c r="G71" s="37">
        <v>0.05</v>
      </c>
      <c r="H71" s="38">
        <v>45502</v>
      </c>
      <c r="I71" s="37">
        <v>344.06</v>
      </c>
      <c r="J71" s="41">
        <f t="shared" ca="1" si="1"/>
        <v>46030.754757407405</v>
      </c>
    </row>
    <row r="72" spans="1:10" ht="16.5" customHeight="1" thickBot="1" x14ac:dyDescent="0.4">
      <c r="A72" s="37" t="s">
        <v>22</v>
      </c>
      <c r="B72" s="37" t="s">
        <v>55</v>
      </c>
      <c r="C72" s="37" t="s">
        <v>34</v>
      </c>
      <c r="D72" s="37" t="s">
        <v>21</v>
      </c>
      <c r="E72" s="37">
        <v>608.66</v>
      </c>
      <c r="F72" s="37">
        <v>1</v>
      </c>
      <c r="G72" s="37">
        <v>0.05</v>
      </c>
      <c r="H72" s="38">
        <v>45503</v>
      </c>
      <c r="I72" s="37">
        <v>144.56</v>
      </c>
      <c r="J72" s="41">
        <f t="shared" ca="1" si="1"/>
        <v>46030.754757407405</v>
      </c>
    </row>
    <row r="73" spans="1:10" ht="16.5" customHeight="1" thickBot="1" x14ac:dyDescent="0.4">
      <c r="A73" s="37" t="s">
        <v>68</v>
      </c>
      <c r="B73" s="37" t="s">
        <v>69</v>
      </c>
      <c r="C73" s="37" t="s">
        <v>20</v>
      </c>
      <c r="D73" s="37" t="s">
        <v>39</v>
      </c>
      <c r="E73" s="37">
        <v>981.2</v>
      </c>
      <c r="F73" s="37">
        <v>19</v>
      </c>
      <c r="G73" s="37">
        <v>0</v>
      </c>
      <c r="H73" s="38">
        <v>45504</v>
      </c>
      <c r="I73" s="37">
        <v>441.54</v>
      </c>
      <c r="J73" s="41">
        <f t="shared" ca="1" si="1"/>
        <v>46030.754757407405</v>
      </c>
    </row>
    <row r="74" spans="1:10" ht="16.5" customHeight="1" thickBot="1" x14ac:dyDescent="0.4">
      <c r="A74" s="37" t="s">
        <v>70</v>
      </c>
      <c r="B74" s="37" t="s">
        <v>55</v>
      </c>
      <c r="C74" s="37" t="s">
        <v>18</v>
      </c>
      <c r="D74" s="37" t="s">
        <v>21</v>
      </c>
      <c r="E74" s="37">
        <v>539.77</v>
      </c>
      <c r="F74" s="37">
        <v>10</v>
      </c>
      <c r="G74" s="37">
        <v>0.15</v>
      </c>
      <c r="H74" s="38">
        <v>45509</v>
      </c>
      <c r="I74" s="37">
        <v>114.7</v>
      </c>
      <c r="J74" s="41">
        <f t="shared" ca="1" si="1"/>
        <v>46030.754757407405</v>
      </c>
    </row>
    <row r="75" spans="1:10" ht="16.5" customHeight="1" thickBot="1" x14ac:dyDescent="0.4">
      <c r="A75" s="37" t="s">
        <v>13</v>
      </c>
      <c r="B75" s="37" t="s">
        <v>71</v>
      </c>
      <c r="C75" s="37" t="s">
        <v>20</v>
      </c>
      <c r="D75" s="37" t="s">
        <v>12</v>
      </c>
      <c r="E75" s="37">
        <v>804.45</v>
      </c>
      <c r="F75" s="37">
        <v>5</v>
      </c>
      <c r="G75" s="37">
        <v>0.2</v>
      </c>
      <c r="H75" s="38">
        <v>45509</v>
      </c>
      <c r="I75" s="37">
        <v>257.42</v>
      </c>
      <c r="J75" s="41">
        <f t="shared" ca="1" si="1"/>
        <v>46030.754757407405</v>
      </c>
    </row>
    <row r="76" spans="1:10" ht="16.5" customHeight="1" thickBot="1" x14ac:dyDescent="0.4">
      <c r="A76" s="37" t="s">
        <v>70</v>
      </c>
      <c r="B76" s="37" t="s">
        <v>38</v>
      </c>
      <c r="C76" s="37" t="s">
        <v>11</v>
      </c>
      <c r="D76" s="37" t="s">
        <v>21</v>
      </c>
      <c r="E76" s="37">
        <v>1526.6</v>
      </c>
      <c r="F76" s="37">
        <v>13</v>
      </c>
      <c r="G76" s="37">
        <v>0.2</v>
      </c>
      <c r="H76" s="38">
        <v>45512</v>
      </c>
      <c r="I76" s="37">
        <v>305.32</v>
      </c>
      <c r="J76" s="41">
        <f t="shared" ca="1" si="1"/>
        <v>46030.754757407405</v>
      </c>
    </row>
    <row r="77" spans="1:10" ht="16.5" customHeight="1" thickBot="1" x14ac:dyDescent="0.4">
      <c r="A77" s="37" t="s">
        <v>13</v>
      </c>
      <c r="B77" s="37" t="s">
        <v>29</v>
      </c>
      <c r="C77" s="37" t="s">
        <v>11</v>
      </c>
      <c r="D77" s="37" t="s">
        <v>21</v>
      </c>
      <c r="E77" s="37">
        <v>1215.26</v>
      </c>
      <c r="F77" s="37">
        <v>5</v>
      </c>
      <c r="G77" s="37">
        <v>0.15</v>
      </c>
      <c r="H77" s="38">
        <v>45513</v>
      </c>
      <c r="I77" s="37">
        <v>258.24</v>
      </c>
      <c r="J77" s="41">
        <f t="shared" ca="1" si="1"/>
        <v>46030.754757407405</v>
      </c>
    </row>
    <row r="78" spans="1:10" ht="16.5" customHeight="1" thickBot="1" x14ac:dyDescent="0.4">
      <c r="A78" s="37" t="s">
        <v>19</v>
      </c>
      <c r="B78" s="37" t="s">
        <v>53</v>
      </c>
      <c r="C78" s="37" t="s">
        <v>34</v>
      </c>
      <c r="D78" s="37" t="s">
        <v>27</v>
      </c>
      <c r="E78" s="37">
        <v>1261.3399999999999</v>
      </c>
      <c r="F78" s="37">
        <v>3</v>
      </c>
      <c r="G78" s="37">
        <v>0</v>
      </c>
      <c r="H78" s="38">
        <v>45519</v>
      </c>
      <c r="I78" s="37">
        <v>441.47</v>
      </c>
      <c r="J78" s="41">
        <f t="shared" ca="1" si="1"/>
        <v>46030.754757407405</v>
      </c>
    </row>
    <row r="79" spans="1:10" ht="16.5" customHeight="1" thickBot="1" x14ac:dyDescent="0.4">
      <c r="A79" s="37" t="s">
        <v>72</v>
      </c>
      <c r="B79" s="37" t="s">
        <v>45</v>
      </c>
      <c r="C79" s="37" t="s">
        <v>24</v>
      </c>
      <c r="D79" s="37" t="s">
        <v>27</v>
      </c>
      <c r="E79" s="37">
        <v>518.07000000000005</v>
      </c>
      <c r="F79" s="37">
        <v>7</v>
      </c>
      <c r="G79" s="37">
        <v>0.05</v>
      </c>
      <c r="H79" s="38">
        <v>45522</v>
      </c>
      <c r="I79" s="37">
        <v>172.26</v>
      </c>
      <c r="J79" s="41">
        <f t="shared" ca="1" si="1"/>
        <v>46030.754757407405</v>
      </c>
    </row>
    <row r="80" spans="1:10" ht="16.5" customHeight="1" thickBot="1" x14ac:dyDescent="0.4">
      <c r="A80" s="37" t="s">
        <v>30</v>
      </c>
      <c r="B80" s="37" t="s">
        <v>29</v>
      </c>
      <c r="C80" s="37" t="s">
        <v>11</v>
      </c>
      <c r="D80" s="37" t="s">
        <v>39</v>
      </c>
      <c r="E80" s="37">
        <v>1111.3399999999999</v>
      </c>
      <c r="F80" s="37">
        <v>1</v>
      </c>
      <c r="G80" s="37">
        <v>0</v>
      </c>
      <c r="H80" s="38">
        <v>45523</v>
      </c>
      <c r="I80" s="37">
        <v>500.1</v>
      </c>
      <c r="J80" s="41">
        <f t="shared" ca="1" si="1"/>
        <v>46030.754757407405</v>
      </c>
    </row>
    <row r="81" spans="1:10" ht="16.5" customHeight="1" thickBot="1" x14ac:dyDescent="0.4">
      <c r="A81" s="37" t="s">
        <v>22</v>
      </c>
      <c r="B81" s="37" t="s">
        <v>31</v>
      </c>
      <c r="C81" s="37" t="s">
        <v>18</v>
      </c>
      <c r="D81" s="37" t="s">
        <v>15</v>
      </c>
      <c r="E81" s="37">
        <v>1291.47</v>
      </c>
      <c r="F81" s="37">
        <v>18</v>
      </c>
      <c r="G81" s="37">
        <v>0.1</v>
      </c>
      <c r="H81" s="38">
        <v>45526</v>
      </c>
      <c r="I81" s="37">
        <v>581.16</v>
      </c>
      <c r="J81" s="41">
        <f t="shared" ca="1" si="1"/>
        <v>46030.754757407405</v>
      </c>
    </row>
    <row r="82" spans="1:10" ht="16.5" customHeight="1" thickBot="1" x14ac:dyDescent="0.4">
      <c r="A82" s="37" t="s">
        <v>25</v>
      </c>
      <c r="B82" s="37" t="s">
        <v>55</v>
      </c>
      <c r="C82" s="37" t="s">
        <v>24</v>
      </c>
      <c r="D82" s="37" t="s">
        <v>12</v>
      </c>
      <c r="E82" s="37">
        <v>679.71</v>
      </c>
      <c r="F82" s="37">
        <v>19</v>
      </c>
      <c r="G82" s="37">
        <v>0</v>
      </c>
      <c r="H82" s="38">
        <v>45534</v>
      </c>
      <c r="I82" s="37">
        <v>271.88</v>
      </c>
      <c r="J82" s="41">
        <f t="shared" ca="1" si="1"/>
        <v>46030.754757407405</v>
      </c>
    </row>
    <row r="83" spans="1:10" ht="16.5" customHeight="1" thickBot="1" x14ac:dyDescent="0.4">
      <c r="A83" s="37" t="s">
        <v>68</v>
      </c>
      <c r="B83" s="37" t="s">
        <v>33</v>
      </c>
      <c r="C83" s="37" t="s">
        <v>18</v>
      </c>
      <c r="D83" s="37" t="s">
        <v>27</v>
      </c>
      <c r="E83" s="37">
        <v>1143.69</v>
      </c>
      <c r="F83" s="37">
        <v>17</v>
      </c>
      <c r="G83" s="37">
        <v>0</v>
      </c>
      <c r="H83" s="38">
        <v>45534</v>
      </c>
      <c r="I83" s="37">
        <v>400.29</v>
      </c>
      <c r="J83" s="41">
        <f t="shared" ca="1" si="1"/>
        <v>46030.754757407405</v>
      </c>
    </row>
    <row r="84" spans="1:10" ht="16.5" customHeight="1" thickBot="1" x14ac:dyDescent="0.4">
      <c r="A84" s="37" t="s">
        <v>52</v>
      </c>
      <c r="B84" s="37" t="s">
        <v>50</v>
      </c>
      <c r="C84" s="37" t="s">
        <v>34</v>
      </c>
      <c r="D84" s="37" t="s">
        <v>21</v>
      </c>
      <c r="E84" s="37">
        <v>790.08</v>
      </c>
      <c r="F84" s="37">
        <v>7</v>
      </c>
      <c r="G84" s="37">
        <v>0.1</v>
      </c>
      <c r="H84" s="38">
        <v>45536</v>
      </c>
      <c r="I84" s="37">
        <v>177.77</v>
      </c>
      <c r="J84" s="41">
        <f t="shared" ca="1" si="1"/>
        <v>46030.754757407405</v>
      </c>
    </row>
    <row r="85" spans="1:10" ht="16.5" customHeight="1" thickBot="1" x14ac:dyDescent="0.4">
      <c r="A85" s="37" t="s">
        <v>19</v>
      </c>
      <c r="B85" s="37" t="s">
        <v>48</v>
      </c>
      <c r="C85" s="37" t="s">
        <v>34</v>
      </c>
      <c r="D85" s="37" t="s">
        <v>12</v>
      </c>
      <c r="E85" s="37">
        <v>1070.68</v>
      </c>
      <c r="F85" s="37">
        <v>7</v>
      </c>
      <c r="G85" s="37">
        <v>0.05</v>
      </c>
      <c r="H85" s="38">
        <v>45536</v>
      </c>
      <c r="I85" s="37">
        <v>406.86</v>
      </c>
      <c r="J85" s="41">
        <f t="shared" ca="1" si="1"/>
        <v>46030.754757407405</v>
      </c>
    </row>
    <row r="86" spans="1:10" ht="16.5" customHeight="1" thickBot="1" x14ac:dyDescent="0.4">
      <c r="A86" s="37" t="s">
        <v>58</v>
      </c>
      <c r="B86" s="37" t="s">
        <v>36</v>
      </c>
      <c r="C86" s="37" t="s">
        <v>11</v>
      </c>
      <c r="D86" s="37" t="s">
        <v>15</v>
      </c>
      <c r="E86" s="37">
        <v>1168.8900000000001</v>
      </c>
      <c r="F86" s="37">
        <v>4</v>
      </c>
      <c r="G86" s="37">
        <v>0.1</v>
      </c>
      <c r="H86" s="38">
        <v>45544</v>
      </c>
      <c r="I86" s="37">
        <v>526</v>
      </c>
      <c r="J86" s="41">
        <f t="shared" ca="1" si="1"/>
        <v>46030.754757407405</v>
      </c>
    </row>
    <row r="87" spans="1:10" ht="16.5" customHeight="1" thickBot="1" x14ac:dyDescent="0.4">
      <c r="A87" s="37" t="s">
        <v>67</v>
      </c>
      <c r="B87" s="37" t="s">
        <v>10</v>
      </c>
      <c r="C87" s="37" t="s">
        <v>20</v>
      </c>
      <c r="D87" s="37" t="s">
        <v>21</v>
      </c>
      <c r="E87" s="37">
        <v>1335.87</v>
      </c>
      <c r="F87" s="37">
        <v>17</v>
      </c>
      <c r="G87" s="37">
        <v>0</v>
      </c>
      <c r="H87" s="38">
        <v>45544</v>
      </c>
      <c r="I87" s="37">
        <v>333.97</v>
      </c>
      <c r="J87" s="41">
        <f t="shared" ca="1" si="1"/>
        <v>46030.754757407405</v>
      </c>
    </row>
    <row r="88" spans="1:10" ht="16.5" customHeight="1" thickBot="1" x14ac:dyDescent="0.4">
      <c r="A88" s="37" t="s">
        <v>40</v>
      </c>
      <c r="B88" s="37" t="s">
        <v>55</v>
      </c>
      <c r="C88" s="37" t="s">
        <v>18</v>
      </c>
      <c r="D88" s="37" t="s">
        <v>27</v>
      </c>
      <c r="E88" s="37">
        <v>873.7</v>
      </c>
      <c r="F88" s="37">
        <v>9</v>
      </c>
      <c r="G88" s="37">
        <v>0</v>
      </c>
      <c r="H88" s="38">
        <v>45546</v>
      </c>
      <c r="I88" s="37">
        <v>305.8</v>
      </c>
      <c r="J88" s="41">
        <f t="shared" ca="1" si="1"/>
        <v>46030.754757407405</v>
      </c>
    </row>
    <row r="89" spans="1:10" ht="16.5" customHeight="1" thickBot="1" x14ac:dyDescent="0.4">
      <c r="A89" s="37" t="s">
        <v>72</v>
      </c>
      <c r="B89" s="37" t="s">
        <v>64</v>
      </c>
      <c r="C89" s="37" t="s">
        <v>11</v>
      </c>
      <c r="D89" s="37" t="s">
        <v>39</v>
      </c>
      <c r="E89" s="37">
        <v>1443.98</v>
      </c>
      <c r="F89" s="37">
        <v>19</v>
      </c>
      <c r="G89" s="37">
        <v>0</v>
      </c>
      <c r="H89" s="38">
        <v>45547</v>
      </c>
      <c r="I89" s="37">
        <v>649.79</v>
      </c>
      <c r="J89" s="41">
        <f t="shared" ca="1" si="1"/>
        <v>46030.754757407405</v>
      </c>
    </row>
    <row r="90" spans="1:10" ht="16.5" customHeight="1" thickBot="1" x14ac:dyDescent="0.4">
      <c r="A90" s="37" t="s">
        <v>40</v>
      </c>
      <c r="B90" s="37" t="s">
        <v>23</v>
      </c>
      <c r="C90" s="37" t="s">
        <v>18</v>
      </c>
      <c r="D90" s="37" t="s">
        <v>39</v>
      </c>
      <c r="E90" s="37">
        <v>1154.33</v>
      </c>
      <c r="F90" s="37">
        <v>11</v>
      </c>
      <c r="G90" s="37">
        <v>0.15</v>
      </c>
      <c r="H90" s="38">
        <v>45549</v>
      </c>
      <c r="I90" s="37">
        <v>441.53</v>
      </c>
      <c r="J90" s="41">
        <f t="shared" ca="1" si="1"/>
        <v>46030.754757407405</v>
      </c>
    </row>
    <row r="91" spans="1:10" ht="16.5" customHeight="1" thickBot="1" x14ac:dyDescent="0.4">
      <c r="A91" s="37" t="s">
        <v>49</v>
      </c>
      <c r="B91" s="37" t="s">
        <v>50</v>
      </c>
      <c r="C91" s="37" t="s">
        <v>20</v>
      </c>
      <c r="D91" s="37" t="s">
        <v>12</v>
      </c>
      <c r="E91" s="37">
        <v>1264.49</v>
      </c>
      <c r="F91" s="37">
        <v>16</v>
      </c>
      <c r="G91" s="37">
        <v>0.05</v>
      </c>
      <c r="H91" s="38">
        <v>45549</v>
      </c>
      <c r="I91" s="37">
        <v>480.51</v>
      </c>
      <c r="J91" s="41">
        <f t="shared" ca="1" si="1"/>
        <v>46030.754757407405</v>
      </c>
    </row>
    <row r="92" spans="1:10" ht="16.5" customHeight="1" thickBot="1" x14ac:dyDescent="0.4">
      <c r="A92" s="37" t="s">
        <v>25</v>
      </c>
      <c r="B92" s="37" t="s">
        <v>66</v>
      </c>
      <c r="C92" s="37" t="s">
        <v>11</v>
      </c>
      <c r="D92" s="37" t="s">
        <v>27</v>
      </c>
      <c r="E92" s="37">
        <v>1101.55</v>
      </c>
      <c r="F92" s="37">
        <v>4</v>
      </c>
      <c r="G92" s="37">
        <v>0.1</v>
      </c>
      <c r="H92" s="38">
        <v>45551</v>
      </c>
      <c r="I92" s="37">
        <v>346.99</v>
      </c>
      <c r="J92" s="41">
        <f t="shared" ca="1" si="1"/>
        <v>46030.754757407405</v>
      </c>
    </row>
    <row r="93" spans="1:10" ht="16.5" customHeight="1" thickBot="1" x14ac:dyDescent="0.4">
      <c r="A93" s="37" t="s">
        <v>73</v>
      </c>
      <c r="B93" s="37" t="s">
        <v>14</v>
      </c>
      <c r="C93" s="37" t="s">
        <v>20</v>
      </c>
      <c r="D93" s="37" t="s">
        <v>27</v>
      </c>
      <c r="E93" s="37">
        <v>727.73</v>
      </c>
      <c r="F93" s="37">
        <v>1</v>
      </c>
      <c r="G93" s="37">
        <v>0.1</v>
      </c>
      <c r="H93" s="38">
        <v>45552</v>
      </c>
      <c r="I93" s="37">
        <v>229.23</v>
      </c>
      <c r="J93" s="41">
        <f t="shared" ca="1" si="1"/>
        <v>46030.754757407405</v>
      </c>
    </row>
    <row r="94" spans="1:10" ht="16.5" customHeight="1" thickBot="1" x14ac:dyDescent="0.4">
      <c r="A94" s="37" t="s">
        <v>74</v>
      </c>
      <c r="B94" s="37" t="s">
        <v>38</v>
      </c>
      <c r="C94" s="37" t="s">
        <v>18</v>
      </c>
      <c r="D94" s="37" t="s">
        <v>39</v>
      </c>
      <c r="E94" s="37">
        <v>875.41</v>
      </c>
      <c r="F94" s="37">
        <v>13</v>
      </c>
      <c r="G94" s="37">
        <v>0.15</v>
      </c>
      <c r="H94" s="38">
        <v>45552</v>
      </c>
      <c r="I94" s="37">
        <v>334.84</v>
      </c>
      <c r="J94" s="41">
        <f t="shared" ca="1" si="1"/>
        <v>46030.754757407405</v>
      </c>
    </row>
    <row r="95" spans="1:10" ht="16.5" customHeight="1" thickBot="1" x14ac:dyDescent="0.4">
      <c r="A95" s="37" t="s">
        <v>67</v>
      </c>
      <c r="B95" s="37" t="s">
        <v>23</v>
      </c>
      <c r="C95" s="37" t="s">
        <v>11</v>
      </c>
      <c r="D95" s="37" t="s">
        <v>21</v>
      </c>
      <c r="E95" s="37">
        <v>1158.94</v>
      </c>
      <c r="F95" s="37">
        <v>19</v>
      </c>
      <c r="G95" s="37">
        <v>0.2</v>
      </c>
      <c r="H95" s="38">
        <v>45553</v>
      </c>
      <c r="I95" s="37">
        <v>231.79</v>
      </c>
      <c r="J95" s="41">
        <f t="shared" ca="1" si="1"/>
        <v>46030.754757407405</v>
      </c>
    </row>
    <row r="96" spans="1:10" ht="16.5" customHeight="1" thickBot="1" x14ac:dyDescent="0.4">
      <c r="A96" s="37" t="s">
        <v>75</v>
      </c>
      <c r="B96" s="37" t="s">
        <v>47</v>
      </c>
      <c r="C96" s="37" t="s">
        <v>20</v>
      </c>
      <c r="D96" s="37" t="s">
        <v>12</v>
      </c>
      <c r="E96" s="37">
        <v>966.3</v>
      </c>
      <c r="F96" s="37">
        <v>2</v>
      </c>
      <c r="G96" s="37">
        <v>0.15</v>
      </c>
      <c r="H96" s="38">
        <v>45557</v>
      </c>
      <c r="I96" s="37">
        <v>328.54</v>
      </c>
      <c r="J96" s="41">
        <f t="shared" ca="1" si="1"/>
        <v>46030.754757407405</v>
      </c>
    </row>
    <row r="97" spans="1:10" ht="16.5" customHeight="1" thickBot="1" x14ac:dyDescent="0.4">
      <c r="A97" s="37" t="s">
        <v>68</v>
      </c>
      <c r="B97" s="37" t="s">
        <v>17</v>
      </c>
      <c r="C97" s="37" t="s">
        <v>20</v>
      </c>
      <c r="D97" s="37" t="s">
        <v>12</v>
      </c>
      <c r="E97" s="37">
        <v>917.48</v>
      </c>
      <c r="F97" s="37">
        <v>6</v>
      </c>
      <c r="G97" s="37">
        <v>0</v>
      </c>
      <c r="H97" s="38">
        <v>45558</v>
      </c>
      <c r="I97" s="37">
        <v>366.99</v>
      </c>
      <c r="J97" s="41">
        <f t="shared" ca="1" si="1"/>
        <v>46030.754757407405</v>
      </c>
    </row>
    <row r="98" spans="1:10" ht="16.5" customHeight="1" thickBot="1" x14ac:dyDescent="0.4">
      <c r="A98" s="37" t="s">
        <v>41</v>
      </c>
      <c r="B98" s="37" t="s">
        <v>61</v>
      </c>
      <c r="C98" s="37" t="s">
        <v>11</v>
      </c>
      <c r="D98" s="37" t="s">
        <v>27</v>
      </c>
      <c r="E98" s="37">
        <v>1172.97</v>
      </c>
      <c r="F98" s="37">
        <v>7</v>
      </c>
      <c r="G98" s="37">
        <v>0.15</v>
      </c>
      <c r="H98" s="38">
        <v>45559</v>
      </c>
      <c r="I98" s="37">
        <v>348.96</v>
      </c>
      <c r="J98" s="41">
        <f t="shared" ca="1" si="1"/>
        <v>46030.754757407405</v>
      </c>
    </row>
    <row r="99" spans="1:10" ht="16.5" customHeight="1" thickBot="1" x14ac:dyDescent="0.4">
      <c r="A99" s="37" t="s">
        <v>57</v>
      </c>
      <c r="B99" s="37" t="s">
        <v>23</v>
      </c>
      <c r="C99" s="37" t="s">
        <v>24</v>
      </c>
      <c r="D99" s="37" t="s">
        <v>15</v>
      </c>
      <c r="E99" s="37">
        <v>1205.82</v>
      </c>
      <c r="F99" s="37">
        <v>11</v>
      </c>
      <c r="G99" s="37">
        <v>0.1</v>
      </c>
      <c r="H99" s="38">
        <v>45559</v>
      </c>
      <c r="I99" s="37">
        <v>542.62</v>
      </c>
      <c r="J99" s="41">
        <f t="shared" ca="1" si="1"/>
        <v>46030.754757407405</v>
      </c>
    </row>
    <row r="100" spans="1:10" ht="16.5" customHeight="1" thickBot="1" x14ac:dyDescent="0.4">
      <c r="A100" s="37" t="s">
        <v>16</v>
      </c>
      <c r="B100" s="37" t="s">
        <v>64</v>
      </c>
      <c r="C100" s="37" t="s">
        <v>11</v>
      </c>
      <c r="D100" s="37" t="s">
        <v>39</v>
      </c>
      <c r="E100" s="37">
        <v>826.93</v>
      </c>
      <c r="F100" s="37">
        <v>10</v>
      </c>
      <c r="G100" s="37">
        <v>0.2</v>
      </c>
      <c r="H100" s="38">
        <v>45564</v>
      </c>
      <c r="I100" s="37">
        <v>297.69</v>
      </c>
      <c r="J100" s="41">
        <f t="shared" ca="1" si="1"/>
        <v>46030.754757407405</v>
      </c>
    </row>
    <row r="101" spans="1:10" ht="16.5" customHeight="1" thickBot="1" x14ac:dyDescent="0.4">
      <c r="A101" s="37" t="s">
        <v>67</v>
      </c>
      <c r="B101" s="37" t="s">
        <v>23</v>
      </c>
      <c r="C101" s="37" t="s">
        <v>34</v>
      </c>
      <c r="D101" s="37" t="s">
        <v>15</v>
      </c>
      <c r="E101" s="37">
        <v>902.19</v>
      </c>
      <c r="F101" s="37">
        <v>12</v>
      </c>
      <c r="G101" s="37">
        <v>0</v>
      </c>
      <c r="H101" s="38">
        <v>45564</v>
      </c>
      <c r="I101" s="37">
        <v>451.1</v>
      </c>
      <c r="J101" s="41">
        <f t="shared" ca="1" si="1"/>
        <v>46030.754757407405</v>
      </c>
    </row>
    <row r="102" spans="1:10" ht="16.5" customHeight="1" thickBot="1" x14ac:dyDescent="0.4">
      <c r="A102" s="37" t="s">
        <v>74</v>
      </c>
      <c r="B102" s="37" t="s">
        <v>38</v>
      </c>
      <c r="C102" s="37" t="s">
        <v>24</v>
      </c>
      <c r="D102" s="37" t="s">
        <v>12</v>
      </c>
      <c r="E102" s="37">
        <v>585.97</v>
      </c>
      <c r="F102" s="37">
        <v>17</v>
      </c>
      <c r="G102" s="37">
        <v>0.1</v>
      </c>
      <c r="H102" s="38">
        <v>45565</v>
      </c>
      <c r="I102" s="37">
        <v>210.95</v>
      </c>
      <c r="J102" s="41">
        <f t="shared" ca="1" si="1"/>
        <v>46030.754757407405</v>
      </c>
    </row>
    <row r="103" spans="1:10" ht="16.5" customHeight="1" thickBot="1" x14ac:dyDescent="0.4">
      <c r="A103" s="37" t="s">
        <v>60</v>
      </c>
      <c r="B103" s="37" t="s">
        <v>26</v>
      </c>
      <c r="C103" s="37" t="s">
        <v>24</v>
      </c>
      <c r="D103" s="37" t="s">
        <v>15</v>
      </c>
      <c r="E103" s="37">
        <v>990.19</v>
      </c>
      <c r="F103" s="37">
        <v>8</v>
      </c>
      <c r="G103" s="37">
        <v>0.1</v>
      </c>
      <c r="H103" s="38">
        <v>45565</v>
      </c>
      <c r="I103" s="37">
        <v>445.59</v>
      </c>
      <c r="J103" s="41">
        <f t="shared" ca="1" si="1"/>
        <v>46030.754757407405</v>
      </c>
    </row>
    <row r="104" spans="1:10" ht="16.5" customHeight="1" thickBot="1" x14ac:dyDescent="0.4">
      <c r="A104" s="37" t="s">
        <v>44</v>
      </c>
      <c r="B104" s="37" t="s">
        <v>56</v>
      </c>
      <c r="C104" s="37" t="s">
        <v>34</v>
      </c>
      <c r="D104" s="37" t="s">
        <v>21</v>
      </c>
      <c r="E104" s="37">
        <v>1014.09</v>
      </c>
      <c r="F104" s="37">
        <v>13</v>
      </c>
      <c r="G104" s="37">
        <v>0.2</v>
      </c>
      <c r="H104" s="38">
        <v>45567</v>
      </c>
      <c r="I104" s="37">
        <v>202.82</v>
      </c>
      <c r="J104" s="41">
        <f t="shared" ca="1" si="1"/>
        <v>46030.754757407405</v>
      </c>
    </row>
    <row r="105" spans="1:10" ht="16.5" customHeight="1" thickBot="1" x14ac:dyDescent="0.4">
      <c r="A105" s="37" t="s">
        <v>13</v>
      </c>
      <c r="B105" s="37" t="s">
        <v>48</v>
      </c>
      <c r="C105" s="37" t="s">
        <v>24</v>
      </c>
      <c r="D105" s="37" t="s">
        <v>21</v>
      </c>
      <c r="E105" s="37">
        <v>925.29</v>
      </c>
      <c r="F105" s="37">
        <v>17</v>
      </c>
      <c r="G105" s="37">
        <v>0</v>
      </c>
      <c r="H105" s="38">
        <v>45570</v>
      </c>
      <c r="I105" s="37">
        <v>231.32</v>
      </c>
      <c r="J105" s="41">
        <f t="shared" ca="1" si="1"/>
        <v>46030.754757407405</v>
      </c>
    </row>
    <row r="106" spans="1:10" ht="16.5" customHeight="1" thickBot="1" x14ac:dyDescent="0.4">
      <c r="A106" s="37" t="s">
        <v>54</v>
      </c>
      <c r="B106" s="37" t="s">
        <v>47</v>
      </c>
      <c r="C106" s="37" t="s">
        <v>18</v>
      </c>
      <c r="D106" s="37" t="s">
        <v>27</v>
      </c>
      <c r="E106" s="37">
        <v>1286.54</v>
      </c>
      <c r="F106" s="37">
        <v>8</v>
      </c>
      <c r="G106" s="37">
        <v>0</v>
      </c>
      <c r="H106" s="38">
        <v>45575</v>
      </c>
      <c r="I106" s="37">
        <v>450.29</v>
      </c>
      <c r="J106" s="41">
        <f t="shared" ca="1" si="1"/>
        <v>46030.754757407405</v>
      </c>
    </row>
    <row r="107" spans="1:10" ht="16.5" customHeight="1" thickBot="1" x14ac:dyDescent="0.4">
      <c r="A107" s="37" t="s">
        <v>37</v>
      </c>
      <c r="B107" s="37" t="s">
        <v>64</v>
      </c>
      <c r="C107" s="37" t="s">
        <v>20</v>
      </c>
      <c r="D107" s="37" t="s">
        <v>12</v>
      </c>
      <c r="E107" s="37">
        <v>961.62</v>
      </c>
      <c r="F107" s="37">
        <v>8</v>
      </c>
      <c r="G107" s="37">
        <v>0.2</v>
      </c>
      <c r="H107" s="38">
        <v>45577</v>
      </c>
      <c r="I107" s="37">
        <v>307.72000000000003</v>
      </c>
      <c r="J107" s="41">
        <f t="shared" ca="1" si="1"/>
        <v>46030.754757407405</v>
      </c>
    </row>
    <row r="108" spans="1:10" ht="16.5" customHeight="1" thickBot="1" x14ac:dyDescent="0.4">
      <c r="A108" s="37" t="s">
        <v>44</v>
      </c>
      <c r="B108" s="37" t="s">
        <v>23</v>
      </c>
      <c r="C108" s="37" t="s">
        <v>18</v>
      </c>
      <c r="D108" s="37" t="s">
        <v>12</v>
      </c>
      <c r="E108" s="37">
        <v>1081.1400000000001</v>
      </c>
      <c r="F108" s="37">
        <v>19</v>
      </c>
      <c r="G108" s="37">
        <v>0.15</v>
      </c>
      <c r="H108" s="38">
        <v>45577</v>
      </c>
      <c r="I108" s="37">
        <v>367.59</v>
      </c>
      <c r="J108" s="41">
        <f t="shared" ca="1" si="1"/>
        <v>46030.754757407405</v>
      </c>
    </row>
    <row r="109" spans="1:10" ht="16.5" customHeight="1" thickBot="1" x14ac:dyDescent="0.4">
      <c r="A109" s="37" t="s">
        <v>58</v>
      </c>
      <c r="B109" s="37" t="s">
        <v>23</v>
      </c>
      <c r="C109" s="37" t="s">
        <v>11</v>
      </c>
      <c r="D109" s="37" t="s">
        <v>15</v>
      </c>
      <c r="E109" s="37">
        <v>1923.66</v>
      </c>
      <c r="F109" s="37">
        <v>9</v>
      </c>
      <c r="G109" s="37">
        <v>0.2</v>
      </c>
      <c r="H109" s="38">
        <v>45580</v>
      </c>
      <c r="I109" s="37">
        <v>769.46</v>
      </c>
      <c r="J109" s="41">
        <f t="shared" ca="1" si="1"/>
        <v>46030.754757407405</v>
      </c>
    </row>
    <row r="110" spans="1:10" ht="16.5" customHeight="1" thickBot="1" x14ac:dyDescent="0.4">
      <c r="A110" s="37" t="s">
        <v>54</v>
      </c>
      <c r="B110" s="37" t="s">
        <v>66</v>
      </c>
      <c r="C110" s="37" t="s">
        <v>34</v>
      </c>
      <c r="D110" s="37" t="s">
        <v>15</v>
      </c>
      <c r="E110" s="37">
        <v>728.71</v>
      </c>
      <c r="F110" s="37">
        <v>14</v>
      </c>
      <c r="G110" s="37">
        <v>0.1</v>
      </c>
      <c r="H110" s="38">
        <v>45581</v>
      </c>
      <c r="I110" s="37">
        <v>327.92</v>
      </c>
      <c r="J110" s="41">
        <f t="shared" ca="1" si="1"/>
        <v>46030.754757407405</v>
      </c>
    </row>
    <row r="111" spans="1:10" ht="16.5" customHeight="1" thickBot="1" x14ac:dyDescent="0.4">
      <c r="A111" s="37" t="s">
        <v>9</v>
      </c>
      <c r="B111" s="37" t="s">
        <v>33</v>
      </c>
      <c r="C111" s="37" t="s">
        <v>34</v>
      </c>
      <c r="D111" s="37" t="s">
        <v>15</v>
      </c>
      <c r="E111" s="37">
        <v>1301.8900000000001</v>
      </c>
      <c r="F111" s="37">
        <v>7</v>
      </c>
      <c r="G111" s="37">
        <v>0.15</v>
      </c>
      <c r="H111" s="38">
        <v>45581</v>
      </c>
      <c r="I111" s="37">
        <v>553.29999999999995</v>
      </c>
      <c r="J111" s="41">
        <f t="shared" ca="1" si="1"/>
        <v>46030.754757407405</v>
      </c>
    </row>
    <row r="112" spans="1:10" ht="16.5" customHeight="1" thickBot="1" x14ac:dyDescent="0.4">
      <c r="A112" s="37" t="s">
        <v>70</v>
      </c>
      <c r="B112" s="37" t="s">
        <v>66</v>
      </c>
      <c r="C112" s="37" t="s">
        <v>18</v>
      </c>
      <c r="D112" s="37" t="s">
        <v>12</v>
      </c>
      <c r="E112" s="37">
        <v>980.18</v>
      </c>
      <c r="F112" s="37">
        <v>16</v>
      </c>
      <c r="G112" s="37">
        <v>0.1</v>
      </c>
      <c r="H112" s="38">
        <v>45582</v>
      </c>
      <c r="I112" s="37">
        <v>352.86</v>
      </c>
      <c r="J112" s="41">
        <f t="shared" ca="1" si="1"/>
        <v>46030.754757407405</v>
      </c>
    </row>
    <row r="113" spans="1:10" ht="16.5" customHeight="1" thickBot="1" x14ac:dyDescent="0.4">
      <c r="A113" s="37" t="s">
        <v>74</v>
      </c>
      <c r="B113" s="37" t="s">
        <v>23</v>
      </c>
      <c r="C113" s="37" t="s">
        <v>11</v>
      </c>
      <c r="D113" s="37" t="s">
        <v>15</v>
      </c>
      <c r="E113" s="37">
        <v>697.57</v>
      </c>
      <c r="F113" s="37">
        <v>17</v>
      </c>
      <c r="G113" s="37">
        <v>0.1</v>
      </c>
      <c r="H113" s="38">
        <v>45584</v>
      </c>
      <c r="I113" s="37">
        <v>313.91000000000003</v>
      </c>
      <c r="J113" s="41">
        <f t="shared" ca="1" si="1"/>
        <v>46030.754757407405</v>
      </c>
    </row>
    <row r="114" spans="1:10" ht="16.5" customHeight="1" thickBot="1" x14ac:dyDescent="0.4">
      <c r="A114" s="37" t="s">
        <v>46</v>
      </c>
      <c r="B114" s="37" t="s">
        <v>71</v>
      </c>
      <c r="C114" s="37" t="s">
        <v>11</v>
      </c>
      <c r="D114" s="37" t="s">
        <v>27</v>
      </c>
      <c r="E114" s="37">
        <v>1193.6099999999999</v>
      </c>
      <c r="F114" s="37">
        <v>1</v>
      </c>
      <c r="G114" s="37">
        <v>0.15</v>
      </c>
      <c r="H114" s="38">
        <v>45584</v>
      </c>
      <c r="I114" s="37">
        <v>355.1</v>
      </c>
      <c r="J114" s="41">
        <f t="shared" ca="1" si="1"/>
        <v>46030.754757407405</v>
      </c>
    </row>
    <row r="115" spans="1:10" ht="16.5" customHeight="1" thickBot="1" x14ac:dyDescent="0.4">
      <c r="A115" s="37" t="s">
        <v>32</v>
      </c>
      <c r="B115" s="37" t="s">
        <v>38</v>
      </c>
      <c r="C115" s="37" t="s">
        <v>20</v>
      </c>
      <c r="D115" s="37" t="s">
        <v>21</v>
      </c>
      <c r="E115" s="37">
        <v>771.02</v>
      </c>
      <c r="F115" s="37">
        <v>1</v>
      </c>
      <c r="G115" s="37">
        <v>0</v>
      </c>
      <c r="H115" s="38">
        <v>45585</v>
      </c>
      <c r="I115" s="37">
        <v>192.76</v>
      </c>
      <c r="J115" s="41">
        <f t="shared" ca="1" si="1"/>
        <v>46030.754757407405</v>
      </c>
    </row>
    <row r="116" spans="1:10" ht="16.5" customHeight="1" thickBot="1" x14ac:dyDescent="0.4">
      <c r="A116" s="37" t="s">
        <v>67</v>
      </c>
      <c r="B116" s="37" t="s">
        <v>69</v>
      </c>
      <c r="C116" s="37" t="s">
        <v>24</v>
      </c>
      <c r="D116" s="37" t="s">
        <v>15</v>
      </c>
      <c r="E116" s="37">
        <v>661.09</v>
      </c>
      <c r="F116" s="37">
        <v>1</v>
      </c>
      <c r="G116" s="37">
        <v>0.2</v>
      </c>
      <c r="H116" s="38">
        <v>45593</v>
      </c>
      <c r="I116" s="37">
        <v>264.44</v>
      </c>
      <c r="J116" s="41">
        <f t="shared" ca="1" si="1"/>
        <v>46030.754757407405</v>
      </c>
    </row>
    <row r="117" spans="1:10" ht="16.5" customHeight="1" thickBot="1" x14ac:dyDescent="0.4">
      <c r="A117" s="37" t="s">
        <v>13</v>
      </c>
      <c r="B117" s="37" t="s">
        <v>55</v>
      </c>
      <c r="C117" s="37" t="s">
        <v>11</v>
      </c>
      <c r="D117" s="37" t="s">
        <v>21</v>
      </c>
      <c r="E117" s="37">
        <v>688.83</v>
      </c>
      <c r="F117" s="37">
        <v>15</v>
      </c>
      <c r="G117" s="37">
        <v>0</v>
      </c>
      <c r="H117" s="38">
        <v>45595</v>
      </c>
      <c r="I117" s="37">
        <v>172.21</v>
      </c>
      <c r="J117" s="41">
        <f t="shared" ca="1" si="1"/>
        <v>46030.754757407405</v>
      </c>
    </row>
    <row r="118" spans="1:10" ht="16.5" customHeight="1" thickBot="1" x14ac:dyDescent="0.4">
      <c r="A118" s="37" t="s">
        <v>73</v>
      </c>
      <c r="B118" s="37" t="s">
        <v>29</v>
      </c>
      <c r="C118" s="37" t="s">
        <v>34</v>
      </c>
      <c r="D118" s="37" t="s">
        <v>12</v>
      </c>
      <c r="E118" s="37">
        <v>1249.0999999999999</v>
      </c>
      <c r="F118" s="37">
        <v>4</v>
      </c>
      <c r="G118" s="37">
        <v>0.05</v>
      </c>
      <c r="H118" s="38">
        <v>45597</v>
      </c>
      <c r="I118" s="37">
        <v>474.66</v>
      </c>
      <c r="J118" s="41">
        <f t="shared" ca="1" si="1"/>
        <v>46030.754757407405</v>
      </c>
    </row>
    <row r="119" spans="1:10" ht="16.5" customHeight="1" thickBot="1" x14ac:dyDescent="0.4">
      <c r="A119" s="37" t="s">
        <v>44</v>
      </c>
      <c r="B119" s="37" t="s">
        <v>23</v>
      </c>
      <c r="C119" s="37" t="s">
        <v>18</v>
      </c>
      <c r="D119" s="37" t="s">
        <v>39</v>
      </c>
      <c r="E119" s="37">
        <v>1014.22</v>
      </c>
      <c r="F119" s="37">
        <v>14</v>
      </c>
      <c r="G119" s="37">
        <v>0.05</v>
      </c>
      <c r="H119" s="38">
        <v>45599</v>
      </c>
      <c r="I119" s="37">
        <v>433.58</v>
      </c>
      <c r="J119" s="41">
        <f t="shared" ca="1" si="1"/>
        <v>46030.754757407405</v>
      </c>
    </row>
    <row r="120" spans="1:10" ht="16.5" customHeight="1" thickBot="1" x14ac:dyDescent="0.4">
      <c r="A120" s="37" t="s">
        <v>54</v>
      </c>
      <c r="B120" s="37" t="s">
        <v>48</v>
      </c>
      <c r="C120" s="37" t="s">
        <v>18</v>
      </c>
      <c r="D120" s="37" t="s">
        <v>12</v>
      </c>
      <c r="E120" s="37">
        <v>1010.58</v>
      </c>
      <c r="F120" s="37">
        <v>2</v>
      </c>
      <c r="G120" s="37">
        <v>0.15</v>
      </c>
      <c r="H120" s="38">
        <v>45605</v>
      </c>
      <c r="I120" s="37">
        <v>343.6</v>
      </c>
      <c r="J120" s="41">
        <f t="shared" ca="1" si="1"/>
        <v>46030.754757407405</v>
      </c>
    </row>
    <row r="121" spans="1:10" ht="16.5" customHeight="1" thickBot="1" x14ac:dyDescent="0.4">
      <c r="A121" s="37" t="s">
        <v>30</v>
      </c>
      <c r="B121" s="37" t="s">
        <v>59</v>
      </c>
      <c r="C121" s="37" t="s">
        <v>24</v>
      </c>
      <c r="D121" s="37" t="s">
        <v>27</v>
      </c>
      <c r="E121" s="37">
        <v>957.29</v>
      </c>
      <c r="F121" s="37">
        <v>4</v>
      </c>
      <c r="G121" s="37">
        <v>0.05</v>
      </c>
      <c r="H121" s="38">
        <v>45605</v>
      </c>
      <c r="I121" s="37">
        <v>318.3</v>
      </c>
      <c r="J121" s="41">
        <f t="shared" ca="1" si="1"/>
        <v>46030.754757407405</v>
      </c>
    </row>
    <row r="122" spans="1:10" ht="16.5" customHeight="1" thickBot="1" x14ac:dyDescent="0.4">
      <c r="A122" s="37" t="s">
        <v>28</v>
      </c>
      <c r="B122" s="37" t="s">
        <v>45</v>
      </c>
      <c r="C122" s="37" t="s">
        <v>24</v>
      </c>
      <c r="D122" s="37" t="s">
        <v>27</v>
      </c>
      <c r="E122" s="37">
        <v>1077.92</v>
      </c>
      <c r="F122" s="37">
        <v>3</v>
      </c>
      <c r="G122" s="37">
        <v>0.05</v>
      </c>
      <c r="H122" s="38">
        <v>45608</v>
      </c>
      <c r="I122" s="37">
        <v>358.41</v>
      </c>
      <c r="J122" s="41">
        <f t="shared" ca="1" si="1"/>
        <v>46030.754757407405</v>
      </c>
    </row>
    <row r="123" spans="1:10" ht="16.5" customHeight="1" thickBot="1" x14ac:dyDescent="0.4">
      <c r="A123" s="37" t="s">
        <v>52</v>
      </c>
      <c r="B123" s="37" t="s">
        <v>50</v>
      </c>
      <c r="C123" s="37" t="s">
        <v>20</v>
      </c>
      <c r="D123" s="37" t="s">
        <v>15</v>
      </c>
      <c r="E123" s="37">
        <v>1163.01</v>
      </c>
      <c r="F123" s="37">
        <v>5</v>
      </c>
      <c r="G123" s="37">
        <v>0</v>
      </c>
      <c r="H123" s="38">
        <v>45611</v>
      </c>
      <c r="I123" s="37">
        <v>581.5</v>
      </c>
      <c r="J123" s="41">
        <f t="shared" ca="1" si="1"/>
        <v>46030.754757407405</v>
      </c>
    </row>
    <row r="124" spans="1:10" ht="16.5" customHeight="1" thickBot="1" x14ac:dyDescent="0.4">
      <c r="A124" s="37" t="s">
        <v>54</v>
      </c>
      <c r="B124" s="37" t="s">
        <v>45</v>
      </c>
      <c r="C124" s="37" t="s">
        <v>18</v>
      </c>
      <c r="D124" s="37" t="s">
        <v>39</v>
      </c>
      <c r="E124" s="37">
        <v>1014.56</v>
      </c>
      <c r="F124" s="37">
        <v>10</v>
      </c>
      <c r="G124" s="37">
        <v>0.1</v>
      </c>
      <c r="H124" s="38">
        <v>45612</v>
      </c>
      <c r="I124" s="37">
        <v>410.9</v>
      </c>
      <c r="J124" s="41">
        <f t="shared" ca="1" si="1"/>
        <v>46030.754757407405</v>
      </c>
    </row>
    <row r="125" spans="1:10" ht="16.5" customHeight="1" thickBot="1" x14ac:dyDescent="0.4">
      <c r="A125" s="37" t="s">
        <v>9</v>
      </c>
      <c r="B125" s="37" t="s">
        <v>17</v>
      </c>
      <c r="C125" s="37" t="s">
        <v>20</v>
      </c>
      <c r="D125" s="37" t="s">
        <v>21</v>
      </c>
      <c r="E125" s="37">
        <v>718.04</v>
      </c>
      <c r="F125" s="37">
        <v>14</v>
      </c>
      <c r="G125" s="37">
        <v>0</v>
      </c>
      <c r="H125" s="38">
        <v>45613</v>
      </c>
      <c r="I125" s="37">
        <v>179.51</v>
      </c>
      <c r="J125" s="41">
        <f t="shared" ca="1" si="1"/>
        <v>46030.754757407405</v>
      </c>
    </row>
    <row r="126" spans="1:10" ht="16.5" customHeight="1" thickBot="1" x14ac:dyDescent="0.4">
      <c r="A126" s="37" t="s">
        <v>72</v>
      </c>
      <c r="B126" s="37" t="s">
        <v>17</v>
      </c>
      <c r="C126" s="37" t="s">
        <v>34</v>
      </c>
      <c r="D126" s="37" t="s">
        <v>15</v>
      </c>
      <c r="E126" s="37">
        <v>1277.8499999999999</v>
      </c>
      <c r="F126" s="37">
        <v>18</v>
      </c>
      <c r="G126" s="37">
        <v>0.2</v>
      </c>
      <c r="H126" s="38">
        <v>45613</v>
      </c>
      <c r="I126" s="37">
        <v>511.14</v>
      </c>
      <c r="J126" s="41">
        <f t="shared" ca="1" si="1"/>
        <v>46030.754757407405</v>
      </c>
    </row>
    <row r="127" spans="1:10" ht="16.5" customHeight="1" thickBot="1" x14ac:dyDescent="0.4">
      <c r="A127" s="37" t="s">
        <v>70</v>
      </c>
      <c r="B127" s="37" t="s">
        <v>23</v>
      </c>
      <c r="C127" s="37" t="s">
        <v>24</v>
      </c>
      <c r="D127" s="37" t="s">
        <v>21</v>
      </c>
      <c r="E127" s="37">
        <v>706.73</v>
      </c>
      <c r="F127" s="37">
        <v>1</v>
      </c>
      <c r="G127" s="37">
        <v>0.15</v>
      </c>
      <c r="H127" s="38">
        <v>45613</v>
      </c>
      <c r="I127" s="37">
        <v>150.18</v>
      </c>
      <c r="J127" s="41">
        <f t="shared" ca="1" si="1"/>
        <v>46030.754757407405</v>
      </c>
    </row>
    <row r="128" spans="1:10" ht="16.5" customHeight="1" thickBot="1" x14ac:dyDescent="0.4">
      <c r="A128" s="37" t="s">
        <v>65</v>
      </c>
      <c r="B128" s="37" t="s">
        <v>50</v>
      </c>
      <c r="C128" s="37" t="s">
        <v>18</v>
      </c>
      <c r="D128" s="37" t="s">
        <v>21</v>
      </c>
      <c r="E128" s="37">
        <v>1410.59</v>
      </c>
      <c r="F128" s="37">
        <v>15</v>
      </c>
      <c r="G128" s="37">
        <v>0</v>
      </c>
      <c r="H128" s="38">
        <v>45615</v>
      </c>
      <c r="I128" s="37">
        <v>352.65</v>
      </c>
      <c r="J128" s="41">
        <f t="shared" ca="1" si="1"/>
        <v>46030.754757407405</v>
      </c>
    </row>
    <row r="129" spans="1:10" ht="16.5" customHeight="1" thickBot="1" x14ac:dyDescent="0.4">
      <c r="A129" s="37" t="s">
        <v>32</v>
      </c>
      <c r="B129" s="37" t="s">
        <v>61</v>
      </c>
      <c r="C129" s="37" t="s">
        <v>20</v>
      </c>
      <c r="D129" s="37" t="s">
        <v>27</v>
      </c>
      <c r="E129" s="37">
        <v>1350.33</v>
      </c>
      <c r="F129" s="37">
        <v>10</v>
      </c>
      <c r="G129" s="37">
        <v>0</v>
      </c>
      <c r="H129" s="38">
        <v>45615</v>
      </c>
      <c r="I129" s="37">
        <v>472.62</v>
      </c>
      <c r="J129" s="41">
        <f t="shared" ca="1" si="1"/>
        <v>46030.754757407405</v>
      </c>
    </row>
    <row r="130" spans="1:10" ht="16.5" customHeight="1" thickBot="1" x14ac:dyDescent="0.4">
      <c r="A130" s="37" t="s">
        <v>41</v>
      </c>
      <c r="B130" s="37" t="s">
        <v>45</v>
      </c>
      <c r="C130" s="37" t="s">
        <v>18</v>
      </c>
      <c r="D130" s="37" t="s">
        <v>21</v>
      </c>
      <c r="E130" s="37">
        <v>919.18</v>
      </c>
      <c r="F130" s="37">
        <v>4</v>
      </c>
      <c r="G130" s="37">
        <v>0.15</v>
      </c>
      <c r="H130" s="38">
        <v>45615</v>
      </c>
      <c r="I130" s="37">
        <v>195.33</v>
      </c>
      <c r="J130" s="41">
        <f t="shared" ca="1" si="1"/>
        <v>46030.754757407405</v>
      </c>
    </row>
    <row r="131" spans="1:10" ht="16.5" customHeight="1" thickBot="1" x14ac:dyDescent="0.4">
      <c r="A131" s="37" t="s">
        <v>74</v>
      </c>
      <c r="B131" s="37" t="s">
        <v>23</v>
      </c>
      <c r="C131" s="37" t="s">
        <v>11</v>
      </c>
      <c r="D131" s="37" t="s">
        <v>21</v>
      </c>
      <c r="E131" s="37">
        <v>258.51</v>
      </c>
      <c r="F131" s="37">
        <v>19</v>
      </c>
      <c r="G131" s="37">
        <v>0</v>
      </c>
      <c r="H131" s="38">
        <v>45616</v>
      </c>
      <c r="I131" s="37">
        <v>64.63</v>
      </c>
      <c r="J131" s="41">
        <f t="shared" ref="J131:J194" ca="1" si="2">NOW()</f>
        <v>46030.754757407405</v>
      </c>
    </row>
    <row r="132" spans="1:10" ht="16.5" customHeight="1" thickBot="1" x14ac:dyDescent="0.4">
      <c r="A132" s="37" t="s">
        <v>63</v>
      </c>
      <c r="B132" s="37" t="s">
        <v>61</v>
      </c>
      <c r="C132" s="37" t="s">
        <v>18</v>
      </c>
      <c r="D132" s="37" t="s">
        <v>12</v>
      </c>
      <c r="E132" s="37">
        <v>1213.48</v>
      </c>
      <c r="F132" s="37">
        <v>5</v>
      </c>
      <c r="G132" s="37">
        <v>0.05</v>
      </c>
      <c r="H132" s="38">
        <v>45616</v>
      </c>
      <c r="I132" s="37">
        <v>461.12</v>
      </c>
      <c r="J132" s="41">
        <f t="shared" ca="1" si="2"/>
        <v>46030.754757407405</v>
      </c>
    </row>
    <row r="133" spans="1:10" ht="16.5" customHeight="1" thickBot="1" x14ac:dyDescent="0.4">
      <c r="A133" s="37" t="s">
        <v>57</v>
      </c>
      <c r="B133" s="37" t="s">
        <v>38</v>
      </c>
      <c r="C133" s="37" t="s">
        <v>34</v>
      </c>
      <c r="D133" s="37" t="s">
        <v>12</v>
      </c>
      <c r="E133" s="37">
        <v>1150.28</v>
      </c>
      <c r="F133" s="37">
        <v>8</v>
      </c>
      <c r="G133" s="37">
        <v>0.05</v>
      </c>
      <c r="H133" s="38">
        <v>45622</v>
      </c>
      <c r="I133" s="37">
        <v>437.11</v>
      </c>
      <c r="J133" s="41">
        <f t="shared" ca="1" si="2"/>
        <v>46030.754757407405</v>
      </c>
    </row>
    <row r="134" spans="1:10" ht="16.5" customHeight="1" thickBot="1" x14ac:dyDescent="0.4">
      <c r="A134" s="37" t="s">
        <v>37</v>
      </c>
      <c r="B134" s="37" t="s">
        <v>71</v>
      </c>
      <c r="C134" s="37" t="s">
        <v>20</v>
      </c>
      <c r="D134" s="37" t="s">
        <v>27</v>
      </c>
      <c r="E134" s="37">
        <v>853.86</v>
      </c>
      <c r="F134" s="37">
        <v>8</v>
      </c>
      <c r="G134" s="37">
        <v>0.1</v>
      </c>
      <c r="H134" s="38">
        <v>45622</v>
      </c>
      <c r="I134" s="37">
        <v>268.97000000000003</v>
      </c>
      <c r="J134" s="41">
        <f t="shared" ca="1" si="2"/>
        <v>46030.754757407405</v>
      </c>
    </row>
    <row r="135" spans="1:10" ht="16.5" customHeight="1" thickBot="1" x14ac:dyDescent="0.4">
      <c r="A135" s="37" t="s">
        <v>75</v>
      </c>
      <c r="B135" s="37" t="s">
        <v>45</v>
      </c>
      <c r="C135" s="37" t="s">
        <v>20</v>
      </c>
      <c r="D135" s="37" t="s">
        <v>21</v>
      </c>
      <c r="E135" s="37">
        <v>1061.04</v>
      </c>
      <c r="F135" s="37">
        <v>1</v>
      </c>
      <c r="G135" s="37">
        <v>0</v>
      </c>
      <c r="H135" s="38">
        <v>45624</v>
      </c>
      <c r="I135" s="37">
        <v>265.26</v>
      </c>
      <c r="J135" s="41">
        <f t="shared" ca="1" si="2"/>
        <v>46030.754757407405</v>
      </c>
    </row>
    <row r="136" spans="1:10" ht="16.5" customHeight="1" thickBot="1" x14ac:dyDescent="0.4">
      <c r="A136" s="37" t="s">
        <v>28</v>
      </c>
      <c r="B136" s="37" t="s">
        <v>43</v>
      </c>
      <c r="C136" s="37" t="s">
        <v>11</v>
      </c>
      <c r="D136" s="37" t="s">
        <v>21</v>
      </c>
      <c r="E136" s="37">
        <v>894.55</v>
      </c>
      <c r="F136" s="37">
        <v>19</v>
      </c>
      <c r="G136" s="37">
        <v>0.2</v>
      </c>
      <c r="H136" s="38">
        <v>45625</v>
      </c>
      <c r="I136" s="37">
        <v>178.91</v>
      </c>
      <c r="J136" s="41">
        <f t="shared" ca="1" si="2"/>
        <v>46030.754757407405</v>
      </c>
    </row>
    <row r="137" spans="1:10" ht="16.5" customHeight="1" thickBot="1" x14ac:dyDescent="0.4">
      <c r="A137" s="37" t="s">
        <v>25</v>
      </c>
      <c r="B137" s="37" t="s">
        <v>38</v>
      </c>
      <c r="C137" s="37" t="s">
        <v>24</v>
      </c>
      <c r="D137" s="37" t="s">
        <v>39</v>
      </c>
      <c r="E137" s="37">
        <v>833.91</v>
      </c>
      <c r="F137" s="37">
        <v>3</v>
      </c>
      <c r="G137" s="37">
        <v>0.05</v>
      </c>
      <c r="H137" s="38">
        <v>45626</v>
      </c>
      <c r="I137" s="37">
        <v>356.5</v>
      </c>
      <c r="J137" s="41">
        <f t="shared" ca="1" si="2"/>
        <v>46030.754757407405</v>
      </c>
    </row>
    <row r="138" spans="1:10" ht="16.5" customHeight="1" thickBot="1" x14ac:dyDescent="0.4">
      <c r="A138" s="37" t="s">
        <v>58</v>
      </c>
      <c r="B138" s="37" t="s">
        <v>71</v>
      </c>
      <c r="C138" s="37" t="s">
        <v>11</v>
      </c>
      <c r="D138" s="37" t="s">
        <v>27</v>
      </c>
      <c r="E138" s="37">
        <v>820.19</v>
      </c>
      <c r="F138" s="37">
        <v>4</v>
      </c>
      <c r="G138" s="37">
        <v>0.2</v>
      </c>
      <c r="H138" s="38">
        <v>45630</v>
      </c>
      <c r="I138" s="37">
        <v>229.65</v>
      </c>
      <c r="J138" s="41">
        <f t="shared" ca="1" si="2"/>
        <v>46030.754757407405</v>
      </c>
    </row>
    <row r="139" spans="1:10" ht="16.5" customHeight="1" thickBot="1" x14ac:dyDescent="0.4">
      <c r="A139" s="37" t="s">
        <v>58</v>
      </c>
      <c r="B139" s="37" t="s">
        <v>38</v>
      </c>
      <c r="C139" s="37" t="s">
        <v>34</v>
      </c>
      <c r="D139" s="37" t="s">
        <v>21</v>
      </c>
      <c r="E139" s="37">
        <v>511.74</v>
      </c>
      <c r="F139" s="37">
        <v>8</v>
      </c>
      <c r="G139" s="37">
        <v>0.05</v>
      </c>
      <c r="H139" s="38">
        <v>45631</v>
      </c>
      <c r="I139" s="37">
        <v>121.54</v>
      </c>
      <c r="J139" s="41">
        <f t="shared" ca="1" si="2"/>
        <v>46030.754757407405</v>
      </c>
    </row>
    <row r="140" spans="1:10" ht="16.5" customHeight="1" thickBot="1" x14ac:dyDescent="0.4">
      <c r="A140" s="37" t="s">
        <v>65</v>
      </c>
      <c r="B140" s="37" t="s">
        <v>61</v>
      </c>
      <c r="C140" s="37" t="s">
        <v>20</v>
      </c>
      <c r="D140" s="37" t="s">
        <v>27</v>
      </c>
      <c r="E140" s="37">
        <v>806.03</v>
      </c>
      <c r="F140" s="37">
        <v>19</v>
      </c>
      <c r="G140" s="37">
        <v>0.05</v>
      </c>
      <c r="H140" s="38">
        <v>45638</v>
      </c>
      <c r="I140" s="37">
        <v>268</v>
      </c>
      <c r="J140" s="41">
        <f t="shared" ca="1" si="2"/>
        <v>46030.754757407405</v>
      </c>
    </row>
    <row r="141" spans="1:10" ht="16.5" customHeight="1" thickBot="1" x14ac:dyDescent="0.4">
      <c r="A141" s="37" t="s">
        <v>28</v>
      </c>
      <c r="B141" s="37" t="s">
        <v>26</v>
      </c>
      <c r="C141" s="37" t="s">
        <v>34</v>
      </c>
      <c r="D141" s="37" t="s">
        <v>27</v>
      </c>
      <c r="E141" s="37">
        <v>1432.47</v>
      </c>
      <c r="F141" s="37">
        <v>16</v>
      </c>
      <c r="G141" s="37">
        <v>0.15</v>
      </c>
      <c r="H141" s="38">
        <v>45640</v>
      </c>
      <c r="I141" s="37">
        <v>426.16</v>
      </c>
      <c r="J141" s="41">
        <f t="shared" ca="1" si="2"/>
        <v>46030.754757407405</v>
      </c>
    </row>
    <row r="142" spans="1:10" ht="16.5" customHeight="1" thickBot="1" x14ac:dyDescent="0.4">
      <c r="A142" s="37" t="s">
        <v>74</v>
      </c>
      <c r="B142" s="37" t="s">
        <v>29</v>
      </c>
      <c r="C142" s="37" t="s">
        <v>34</v>
      </c>
      <c r="D142" s="37" t="s">
        <v>21</v>
      </c>
      <c r="E142" s="37">
        <v>1488.58</v>
      </c>
      <c r="F142" s="37">
        <v>10</v>
      </c>
      <c r="G142" s="37">
        <v>0.15</v>
      </c>
      <c r="H142" s="38">
        <v>45640</v>
      </c>
      <c r="I142" s="37">
        <v>316.32</v>
      </c>
      <c r="J142" s="41">
        <f t="shared" ca="1" si="2"/>
        <v>46030.754757407405</v>
      </c>
    </row>
    <row r="143" spans="1:10" ht="16.5" customHeight="1" thickBot="1" x14ac:dyDescent="0.4">
      <c r="A143" s="37" t="s">
        <v>30</v>
      </c>
      <c r="B143" s="37" t="s">
        <v>66</v>
      </c>
      <c r="C143" s="37" t="s">
        <v>18</v>
      </c>
      <c r="D143" s="37" t="s">
        <v>12</v>
      </c>
      <c r="E143" s="37">
        <v>1231.26</v>
      </c>
      <c r="F143" s="37">
        <v>9</v>
      </c>
      <c r="G143" s="37">
        <v>0</v>
      </c>
      <c r="H143" s="38">
        <v>45646</v>
      </c>
      <c r="I143" s="37">
        <v>492.5</v>
      </c>
      <c r="J143" s="41">
        <f t="shared" ca="1" si="2"/>
        <v>46030.754757407405</v>
      </c>
    </row>
    <row r="144" spans="1:10" ht="16.5" customHeight="1" thickBot="1" x14ac:dyDescent="0.4">
      <c r="A144" s="37" t="s">
        <v>30</v>
      </c>
      <c r="B144" s="37" t="s">
        <v>43</v>
      </c>
      <c r="C144" s="37" t="s">
        <v>11</v>
      </c>
      <c r="D144" s="37" t="s">
        <v>21</v>
      </c>
      <c r="E144" s="37">
        <v>1161.67</v>
      </c>
      <c r="F144" s="37">
        <v>19</v>
      </c>
      <c r="G144" s="37">
        <v>0.2</v>
      </c>
      <c r="H144" s="38">
        <v>45647</v>
      </c>
      <c r="I144" s="37">
        <v>232.33</v>
      </c>
      <c r="J144" s="41">
        <f t="shared" ca="1" si="2"/>
        <v>46030.754757407405</v>
      </c>
    </row>
    <row r="145" spans="1:10" ht="16.5" customHeight="1" thickBot="1" x14ac:dyDescent="0.4">
      <c r="A145" s="37" t="s">
        <v>49</v>
      </c>
      <c r="B145" s="37" t="s">
        <v>45</v>
      </c>
      <c r="C145" s="37" t="s">
        <v>34</v>
      </c>
      <c r="D145" s="37" t="s">
        <v>39</v>
      </c>
      <c r="E145" s="37">
        <v>388.23</v>
      </c>
      <c r="F145" s="37">
        <v>16</v>
      </c>
      <c r="G145" s="37">
        <v>0.05</v>
      </c>
      <c r="H145" s="38">
        <v>45650</v>
      </c>
      <c r="I145" s="37">
        <v>165.97</v>
      </c>
      <c r="J145" s="41">
        <f t="shared" ca="1" si="2"/>
        <v>46030.754757407405</v>
      </c>
    </row>
    <row r="146" spans="1:10" ht="16.5" customHeight="1" thickBot="1" x14ac:dyDescent="0.4">
      <c r="A146" s="37" t="s">
        <v>72</v>
      </c>
      <c r="B146" s="37" t="s">
        <v>31</v>
      </c>
      <c r="C146" s="37" t="s">
        <v>24</v>
      </c>
      <c r="D146" s="37" t="s">
        <v>15</v>
      </c>
      <c r="E146" s="37">
        <v>1589.42</v>
      </c>
      <c r="F146" s="37">
        <v>6</v>
      </c>
      <c r="G146" s="37">
        <v>0.15</v>
      </c>
      <c r="H146" s="38">
        <v>45651</v>
      </c>
      <c r="I146" s="37">
        <v>675.5</v>
      </c>
      <c r="J146" s="41">
        <f t="shared" ca="1" si="2"/>
        <v>46030.754757407405</v>
      </c>
    </row>
    <row r="147" spans="1:10" ht="16.5" customHeight="1" thickBot="1" x14ac:dyDescent="0.4">
      <c r="A147" s="37" t="s">
        <v>28</v>
      </c>
      <c r="B147" s="37" t="s">
        <v>71</v>
      </c>
      <c r="C147" s="37" t="s">
        <v>24</v>
      </c>
      <c r="D147" s="37" t="s">
        <v>15</v>
      </c>
      <c r="E147" s="37">
        <v>336.66</v>
      </c>
      <c r="F147" s="37">
        <v>13</v>
      </c>
      <c r="G147" s="37">
        <v>0.2</v>
      </c>
      <c r="H147" s="38">
        <v>45651</v>
      </c>
      <c r="I147" s="37">
        <v>134.66</v>
      </c>
      <c r="J147" s="41">
        <f t="shared" ca="1" si="2"/>
        <v>46030.754757407405</v>
      </c>
    </row>
    <row r="148" spans="1:10" ht="16.5" customHeight="1" thickBot="1" x14ac:dyDescent="0.4">
      <c r="A148" s="37" t="s">
        <v>49</v>
      </c>
      <c r="B148" s="37" t="s">
        <v>23</v>
      </c>
      <c r="C148" s="37" t="s">
        <v>11</v>
      </c>
      <c r="D148" s="37" t="s">
        <v>12</v>
      </c>
      <c r="E148" s="37">
        <v>1353.79</v>
      </c>
      <c r="F148" s="37">
        <v>14</v>
      </c>
      <c r="G148" s="37">
        <v>0.1</v>
      </c>
      <c r="H148" s="38">
        <v>45656</v>
      </c>
      <c r="I148" s="37">
        <v>487.36</v>
      </c>
      <c r="J148" s="41">
        <f t="shared" ca="1" si="2"/>
        <v>46030.754757407405</v>
      </c>
    </row>
    <row r="149" spans="1:10" ht="16.5" customHeight="1" thickBot="1" x14ac:dyDescent="0.4">
      <c r="A149" s="37" t="s">
        <v>63</v>
      </c>
      <c r="B149" s="37" t="s">
        <v>69</v>
      </c>
      <c r="C149" s="37" t="s">
        <v>34</v>
      </c>
      <c r="D149" s="37" t="s">
        <v>15</v>
      </c>
      <c r="E149" s="37">
        <v>662.61</v>
      </c>
      <c r="F149" s="37">
        <v>11</v>
      </c>
      <c r="G149" s="37">
        <v>0.05</v>
      </c>
      <c r="H149" s="38">
        <v>45658</v>
      </c>
      <c r="I149" s="37">
        <v>314.74</v>
      </c>
      <c r="J149" s="41">
        <f t="shared" ca="1" si="2"/>
        <v>46030.754757407405</v>
      </c>
    </row>
    <row r="150" spans="1:10" ht="16.5" customHeight="1" thickBot="1" x14ac:dyDescent="0.4">
      <c r="A150" s="37" t="s">
        <v>52</v>
      </c>
      <c r="B150" s="37" t="s">
        <v>48</v>
      </c>
      <c r="C150" s="37" t="s">
        <v>24</v>
      </c>
      <c r="D150" s="37" t="s">
        <v>39</v>
      </c>
      <c r="E150" s="37">
        <v>309.42</v>
      </c>
      <c r="F150" s="37">
        <v>1</v>
      </c>
      <c r="G150" s="37">
        <v>0.2</v>
      </c>
      <c r="H150" s="38">
        <v>45658</v>
      </c>
      <c r="I150" s="37">
        <v>111.39</v>
      </c>
      <c r="J150" s="41">
        <f t="shared" ca="1" si="2"/>
        <v>46030.754757407405</v>
      </c>
    </row>
    <row r="151" spans="1:10" ht="16.5" customHeight="1" thickBot="1" x14ac:dyDescent="0.4">
      <c r="A151" s="37" t="s">
        <v>63</v>
      </c>
      <c r="B151" s="37" t="s">
        <v>29</v>
      </c>
      <c r="C151" s="37" t="s">
        <v>24</v>
      </c>
      <c r="D151" s="37" t="s">
        <v>12</v>
      </c>
      <c r="E151" s="37">
        <v>884.63</v>
      </c>
      <c r="F151" s="37">
        <v>18</v>
      </c>
      <c r="G151" s="37">
        <v>0.1</v>
      </c>
      <c r="H151" s="38">
        <v>45659</v>
      </c>
      <c r="I151" s="37">
        <v>318.47000000000003</v>
      </c>
      <c r="J151" s="41">
        <f t="shared" ca="1" si="2"/>
        <v>46030.754757407405</v>
      </c>
    </row>
    <row r="152" spans="1:10" ht="16.5" customHeight="1" thickBot="1" x14ac:dyDescent="0.4">
      <c r="A152" s="37" t="s">
        <v>52</v>
      </c>
      <c r="B152" s="37" t="s">
        <v>23</v>
      </c>
      <c r="C152" s="37" t="s">
        <v>34</v>
      </c>
      <c r="D152" s="37" t="s">
        <v>39</v>
      </c>
      <c r="E152" s="37">
        <v>745.05</v>
      </c>
      <c r="F152" s="37">
        <v>10</v>
      </c>
      <c r="G152" s="37">
        <v>0.1</v>
      </c>
      <c r="H152" s="38">
        <v>45660</v>
      </c>
      <c r="I152" s="37">
        <v>301.75</v>
      </c>
      <c r="J152" s="41">
        <f t="shared" ca="1" si="2"/>
        <v>46030.754757407405</v>
      </c>
    </row>
    <row r="153" spans="1:10" ht="16.5" customHeight="1" thickBot="1" x14ac:dyDescent="0.4">
      <c r="A153" s="37" t="s">
        <v>60</v>
      </c>
      <c r="B153" s="37" t="s">
        <v>17</v>
      </c>
      <c r="C153" s="37" t="s">
        <v>20</v>
      </c>
      <c r="D153" s="37" t="s">
        <v>15</v>
      </c>
      <c r="E153" s="37">
        <v>870.23</v>
      </c>
      <c r="F153" s="37">
        <v>5</v>
      </c>
      <c r="G153" s="37">
        <v>0.05</v>
      </c>
      <c r="H153" s="38">
        <v>45660</v>
      </c>
      <c r="I153" s="37">
        <v>413.36</v>
      </c>
      <c r="J153" s="41">
        <f t="shared" ca="1" si="2"/>
        <v>46030.754757407405</v>
      </c>
    </row>
    <row r="154" spans="1:10" ht="16.5" customHeight="1" thickBot="1" x14ac:dyDescent="0.4">
      <c r="A154" s="37" t="s">
        <v>35</v>
      </c>
      <c r="B154" s="37" t="s">
        <v>29</v>
      </c>
      <c r="C154" s="37" t="s">
        <v>11</v>
      </c>
      <c r="D154" s="37" t="s">
        <v>27</v>
      </c>
      <c r="E154" s="37">
        <v>862.19</v>
      </c>
      <c r="F154" s="37">
        <v>18</v>
      </c>
      <c r="G154" s="37">
        <v>0.05</v>
      </c>
      <c r="H154" s="38">
        <v>45663</v>
      </c>
      <c r="I154" s="37">
        <v>286.68</v>
      </c>
      <c r="J154" s="41">
        <f t="shared" ca="1" si="2"/>
        <v>46030.754757407405</v>
      </c>
    </row>
    <row r="155" spans="1:10" ht="16.5" customHeight="1" thickBot="1" x14ac:dyDescent="0.4">
      <c r="A155" s="37" t="s">
        <v>73</v>
      </c>
      <c r="B155" s="37" t="s">
        <v>59</v>
      </c>
      <c r="C155" s="37" t="s">
        <v>24</v>
      </c>
      <c r="D155" s="37" t="s">
        <v>15</v>
      </c>
      <c r="E155" s="37">
        <v>1171.18</v>
      </c>
      <c r="F155" s="37">
        <v>19</v>
      </c>
      <c r="G155" s="37">
        <v>0.05</v>
      </c>
      <c r="H155" s="38">
        <v>45667</v>
      </c>
      <c r="I155" s="37">
        <v>556.30999999999995</v>
      </c>
      <c r="J155" s="41">
        <f t="shared" ca="1" si="2"/>
        <v>46030.754757407405</v>
      </c>
    </row>
    <row r="156" spans="1:10" ht="16.5" customHeight="1" thickBot="1" x14ac:dyDescent="0.4">
      <c r="A156" s="37" t="s">
        <v>58</v>
      </c>
      <c r="B156" s="37" t="s">
        <v>14</v>
      </c>
      <c r="C156" s="37" t="s">
        <v>20</v>
      </c>
      <c r="D156" s="37" t="s">
        <v>27</v>
      </c>
      <c r="E156" s="37">
        <v>1054.56</v>
      </c>
      <c r="F156" s="37">
        <v>11</v>
      </c>
      <c r="G156" s="37">
        <v>0.1</v>
      </c>
      <c r="H156" s="38">
        <v>45669</v>
      </c>
      <c r="I156" s="37">
        <v>332.19</v>
      </c>
      <c r="J156" s="41">
        <f t="shared" ca="1" si="2"/>
        <v>46030.754757407405</v>
      </c>
    </row>
    <row r="157" spans="1:10" ht="16.5" customHeight="1" thickBot="1" x14ac:dyDescent="0.4">
      <c r="A157" s="37" t="s">
        <v>58</v>
      </c>
      <c r="B157" s="37" t="s">
        <v>23</v>
      </c>
      <c r="C157" s="37" t="s">
        <v>24</v>
      </c>
      <c r="D157" s="37" t="s">
        <v>21</v>
      </c>
      <c r="E157" s="37">
        <v>1681.21</v>
      </c>
      <c r="F157" s="37">
        <v>5</v>
      </c>
      <c r="G157" s="37">
        <v>0.2</v>
      </c>
      <c r="H157" s="38">
        <v>45670</v>
      </c>
      <c r="I157" s="37">
        <v>336.24</v>
      </c>
      <c r="J157" s="41">
        <f t="shared" ca="1" si="2"/>
        <v>46030.754757407405</v>
      </c>
    </row>
    <row r="158" spans="1:10" ht="16.5" customHeight="1" thickBot="1" x14ac:dyDescent="0.4">
      <c r="A158" s="37" t="s">
        <v>58</v>
      </c>
      <c r="B158" s="37" t="s">
        <v>36</v>
      </c>
      <c r="C158" s="37" t="s">
        <v>11</v>
      </c>
      <c r="D158" s="37" t="s">
        <v>15</v>
      </c>
      <c r="E158" s="37">
        <v>379.77</v>
      </c>
      <c r="F158" s="37">
        <v>9</v>
      </c>
      <c r="G158" s="37">
        <v>0.05</v>
      </c>
      <c r="H158" s="38">
        <v>45673</v>
      </c>
      <c r="I158" s="37">
        <v>180.39</v>
      </c>
      <c r="J158" s="41">
        <f t="shared" ca="1" si="2"/>
        <v>46030.754757407405</v>
      </c>
    </row>
    <row r="159" spans="1:10" ht="16.5" customHeight="1" thickBot="1" x14ac:dyDescent="0.4">
      <c r="A159" s="37" t="s">
        <v>44</v>
      </c>
      <c r="B159" s="37" t="s">
        <v>45</v>
      </c>
      <c r="C159" s="37" t="s">
        <v>34</v>
      </c>
      <c r="D159" s="37" t="s">
        <v>15</v>
      </c>
      <c r="E159" s="37">
        <v>1076.33</v>
      </c>
      <c r="F159" s="37">
        <v>2</v>
      </c>
      <c r="G159" s="37">
        <v>0.1</v>
      </c>
      <c r="H159" s="38">
        <v>45674</v>
      </c>
      <c r="I159" s="37">
        <v>484.35</v>
      </c>
      <c r="J159" s="41">
        <f t="shared" ca="1" si="2"/>
        <v>46030.754757407405</v>
      </c>
    </row>
    <row r="160" spans="1:10" ht="16.5" customHeight="1" thickBot="1" x14ac:dyDescent="0.4">
      <c r="A160" s="37" t="s">
        <v>44</v>
      </c>
      <c r="B160" s="37" t="s">
        <v>31</v>
      </c>
      <c r="C160" s="37" t="s">
        <v>34</v>
      </c>
      <c r="D160" s="37" t="s">
        <v>39</v>
      </c>
      <c r="E160" s="37">
        <v>1250.71</v>
      </c>
      <c r="F160" s="37">
        <v>7</v>
      </c>
      <c r="G160" s="37">
        <v>0</v>
      </c>
      <c r="H160" s="38">
        <v>45674</v>
      </c>
      <c r="I160" s="37">
        <v>562.82000000000005</v>
      </c>
      <c r="J160" s="41">
        <f t="shared" ca="1" si="2"/>
        <v>46030.754757407405</v>
      </c>
    </row>
    <row r="161" spans="1:10" ht="16.5" customHeight="1" thickBot="1" x14ac:dyDescent="0.4">
      <c r="A161" s="37" t="s">
        <v>40</v>
      </c>
      <c r="B161" s="37" t="s">
        <v>17</v>
      </c>
      <c r="C161" s="37" t="s">
        <v>20</v>
      </c>
      <c r="D161" s="37" t="s">
        <v>15</v>
      </c>
      <c r="E161" s="37">
        <v>1118.3399999999999</v>
      </c>
      <c r="F161" s="37">
        <v>6</v>
      </c>
      <c r="G161" s="37">
        <v>0.2</v>
      </c>
      <c r="H161" s="38">
        <v>45674</v>
      </c>
      <c r="I161" s="37">
        <v>447.34</v>
      </c>
      <c r="J161" s="41">
        <f t="shared" ca="1" si="2"/>
        <v>46030.754757407405</v>
      </c>
    </row>
    <row r="162" spans="1:10" ht="16.5" customHeight="1" thickBot="1" x14ac:dyDescent="0.4">
      <c r="A162" s="37" t="s">
        <v>70</v>
      </c>
      <c r="B162" s="37" t="s">
        <v>53</v>
      </c>
      <c r="C162" s="37" t="s">
        <v>24</v>
      </c>
      <c r="D162" s="37" t="s">
        <v>15</v>
      </c>
      <c r="E162" s="37">
        <v>1622.62</v>
      </c>
      <c r="F162" s="37">
        <v>12</v>
      </c>
      <c r="G162" s="37">
        <v>0.2</v>
      </c>
      <c r="H162" s="38">
        <v>45677</v>
      </c>
      <c r="I162" s="37">
        <v>649.04999999999995</v>
      </c>
      <c r="J162" s="41">
        <f t="shared" ca="1" si="2"/>
        <v>46030.754757407405</v>
      </c>
    </row>
    <row r="163" spans="1:10" ht="16.5" customHeight="1" thickBot="1" x14ac:dyDescent="0.4">
      <c r="A163" s="37" t="s">
        <v>75</v>
      </c>
      <c r="B163" s="37" t="s">
        <v>48</v>
      </c>
      <c r="C163" s="37" t="s">
        <v>24</v>
      </c>
      <c r="D163" s="37" t="s">
        <v>12</v>
      </c>
      <c r="E163" s="37">
        <v>640.64</v>
      </c>
      <c r="F163" s="37">
        <v>11</v>
      </c>
      <c r="G163" s="37">
        <v>0.2</v>
      </c>
      <c r="H163" s="38">
        <v>45678</v>
      </c>
      <c r="I163" s="37">
        <v>205</v>
      </c>
      <c r="J163" s="41">
        <f t="shared" ca="1" si="2"/>
        <v>46030.754757407405</v>
      </c>
    </row>
    <row r="164" spans="1:10" ht="16.5" customHeight="1" thickBot="1" x14ac:dyDescent="0.4">
      <c r="A164" s="37" t="s">
        <v>22</v>
      </c>
      <c r="B164" s="37" t="s">
        <v>43</v>
      </c>
      <c r="C164" s="37" t="s">
        <v>11</v>
      </c>
      <c r="D164" s="37" t="s">
        <v>15</v>
      </c>
      <c r="E164" s="37">
        <v>585.16</v>
      </c>
      <c r="F164" s="37">
        <v>17</v>
      </c>
      <c r="G164" s="37">
        <v>0.1</v>
      </c>
      <c r="H164" s="38">
        <v>45684</v>
      </c>
      <c r="I164" s="37">
        <v>263.32</v>
      </c>
      <c r="J164" s="41">
        <f t="shared" ca="1" si="2"/>
        <v>46030.754757407405</v>
      </c>
    </row>
    <row r="165" spans="1:10" ht="16.5" customHeight="1" thickBot="1" x14ac:dyDescent="0.4">
      <c r="A165" s="37" t="s">
        <v>22</v>
      </c>
      <c r="B165" s="37" t="s">
        <v>31</v>
      </c>
      <c r="C165" s="37" t="s">
        <v>18</v>
      </c>
      <c r="D165" s="37" t="s">
        <v>15</v>
      </c>
      <c r="E165" s="37">
        <v>1109.98</v>
      </c>
      <c r="F165" s="37">
        <v>5</v>
      </c>
      <c r="G165" s="37">
        <v>0.2</v>
      </c>
      <c r="H165" s="38">
        <v>45690</v>
      </c>
      <c r="I165" s="37">
        <v>443.99</v>
      </c>
      <c r="J165" s="41">
        <f t="shared" ca="1" si="2"/>
        <v>46030.754757407405</v>
      </c>
    </row>
    <row r="166" spans="1:10" ht="16.5" customHeight="1" thickBot="1" x14ac:dyDescent="0.4">
      <c r="A166" s="37" t="s">
        <v>58</v>
      </c>
      <c r="B166" s="37" t="s">
        <v>45</v>
      </c>
      <c r="C166" s="37" t="s">
        <v>18</v>
      </c>
      <c r="D166" s="37" t="s">
        <v>12</v>
      </c>
      <c r="E166" s="37">
        <v>1098.08</v>
      </c>
      <c r="F166" s="37">
        <v>9</v>
      </c>
      <c r="G166" s="37">
        <v>0.1</v>
      </c>
      <c r="H166" s="38">
        <v>45692</v>
      </c>
      <c r="I166" s="37">
        <v>395.31</v>
      </c>
      <c r="J166" s="41">
        <f t="shared" ca="1" si="2"/>
        <v>46030.754757407405</v>
      </c>
    </row>
    <row r="167" spans="1:10" ht="16.5" customHeight="1" thickBot="1" x14ac:dyDescent="0.4">
      <c r="A167" s="37" t="s">
        <v>65</v>
      </c>
      <c r="B167" s="37" t="s">
        <v>48</v>
      </c>
      <c r="C167" s="37" t="s">
        <v>11</v>
      </c>
      <c r="D167" s="37" t="s">
        <v>39</v>
      </c>
      <c r="E167" s="37">
        <v>827.25</v>
      </c>
      <c r="F167" s="37">
        <v>7</v>
      </c>
      <c r="G167" s="37">
        <v>0.1</v>
      </c>
      <c r="H167" s="38">
        <v>45693</v>
      </c>
      <c r="I167" s="37">
        <v>335.04</v>
      </c>
      <c r="J167" s="41">
        <f t="shared" ca="1" si="2"/>
        <v>46030.754757407405</v>
      </c>
    </row>
    <row r="168" spans="1:10" ht="16.5" customHeight="1" thickBot="1" x14ac:dyDescent="0.4">
      <c r="A168" s="37" t="s">
        <v>70</v>
      </c>
      <c r="B168" s="37" t="s">
        <v>29</v>
      </c>
      <c r="C168" s="37" t="s">
        <v>34</v>
      </c>
      <c r="D168" s="37" t="s">
        <v>15</v>
      </c>
      <c r="E168" s="37">
        <v>741.88</v>
      </c>
      <c r="F168" s="37">
        <v>16</v>
      </c>
      <c r="G168" s="37">
        <v>0.1</v>
      </c>
      <c r="H168" s="38">
        <v>45695</v>
      </c>
      <c r="I168" s="37">
        <v>333.85</v>
      </c>
      <c r="J168" s="41">
        <f t="shared" ca="1" si="2"/>
        <v>46030.754757407405</v>
      </c>
    </row>
    <row r="169" spans="1:10" ht="16.5" customHeight="1" thickBot="1" x14ac:dyDescent="0.4">
      <c r="A169" s="37" t="s">
        <v>72</v>
      </c>
      <c r="B169" s="37" t="s">
        <v>10</v>
      </c>
      <c r="C169" s="37" t="s">
        <v>18</v>
      </c>
      <c r="D169" s="37" t="s">
        <v>39</v>
      </c>
      <c r="E169" s="37">
        <v>1311.26</v>
      </c>
      <c r="F169" s="37">
        <v>6</v>
      </c>
      <c r="G169" s="37">
        <v>0.1</v>
      </c>
      <c r="H169" s="38">
        <v>45698</v>
      </c>
      <c r="I169" s="37">
        <v>531.05999999999995</v>
      </c>
      <c r="J169" s="41">
        <f t="shared" ca="1" si="2"/>
        <v>46030.754757407405</v>
      </c>
    </row>
    <row r="170" spans="1:10" ht="16.5" customHeight="1" thickBot="1" x14ac:dyDescent="0.4">
      <c r="A170" s="37" t="s">
        <v>72</v>
      </c>
      <c r="B170" s="37" t="s">
        <v>31</v>
      </c>
      <c r="C170" s="37" t="s">
        <v>20</v>
      </c>
      <c r="D170" s="37" t="s">
        <v>39</v>
      </c>
      <c r="E170" s="37">
        <v>573.32000000000005</v>
      </c>
      <c r="F170" s="37">
        <v>19</v>
      </c>
      <c r="G170" s="37">
        <v>0.1</v>
      </c>
      <c r="H170" s="38">
        <v>45703</v>
      </c>
      <c r="I170" s="37">
        <v>232.19</v>
      </c>
      <c r="J170" s="41">
        <f t="shared" ca="1" si="2"/>
        <v>46030.754757407405</v>
      </c>
    </row>
    <row r="171" spans="1:10" ht="16.5" customHeight="1" thickBot="1" x14ac:dyDescent="0.4">
      <c r="A171" s="37" t="s">
        <v>52</v>
      </c>
      <c r="B171" s="37" t="s">
        <v>23</v>
      </c>
      <c r="C171" s="37" t="s">
        <v>11</v>
      </c>
      <c r="D171" s="37" t="s">
        <v>21</v>
      </c>
      <c r="E171" s="37">
        <v>1115.22</v>
      </c>
      <c r="F171" s="37">
        <v>14</v>
      </c>
      <c r="G171" s="37">
        <v>0.2</v>
      </c>
      <c r="H171" s="38">
        <v>45705</v>
      </c>
      <c r="I171" s="37">
        <v>223.04</v>
      </c>
      <c r="J171" s="41">
        <f t="shared" ca="1" si="2"/>
        <v>46030.754757407405</v>
      </c>
    </row>
    <row r="172" spans="1:10" ht="16.5" customHeight="1" thickBot="1" x14ac:dyDescent="0.4">
      <c r="A172" s="37" t="s">
        <v>13</v>
      </c>
      <c r="B172" s="37" t="s">
        <v>45</v>
      </c>
      <c r="C172" s="37" t="s">
        <v>24</v>
      </c>
      <c r="D172" s="37" t="s">
        <v>15</v>
      </c>
      <c r="E172" s="37">
        <v>845.84</v>
      </c>
      <c r="F172" s="37">
        <v>4</v>
      </c>
      <c r="G172" s="37">
        <v>0</v>
      </c>
      <c r="H172" s="38">
        <v>45707</v>
      </c>
      <c r="I172" s="37">
        <v>422.92</v>
      </c>
      <c r="J172" s="41">
        <f t="shared" ca="1" si="2"/>
        <v>46030.754757407405</v>
      </c>
    </row>
    <row r="173" spans="1:10" ht="16.5" customHeight="1" thickBot="1" x14ac:dyDescent="0.4">
      <c r="A173" s="37" t="s">
        <v>30</v>
      </c>
      <c r="B173" s="37" t="s">
        <v>55</v>
      </c>
      <c r="C173" s="37" t="s">
        <v>11</v>
      </c>
      <c r="D173" s="37" t="s">
        <v>21</v>
      </c>
      <c r="E173" s="37">
        <v>1029.8</v>
      </c>
      <c r="F173" s="37">
        <v>3</v>
      </c>
      <c r="G173" s="37">
        <v>0</v>
      </c>
      <c r="H173" s="38">
        <v>45708</v>
      </c>
      <c r="I173" s="37">
        <v>257.45</v>
      </c>
      <c r="J173" s="41">
        <f t="shared" ca="1" si="2"/>
        <v>46030.754757407405</v>
      </c>
    </row>
    <row r="174" spans="1:10" ht="16.5" customHeight="1" thickBot="1" x14ac:dyDescent="0.4">
      <c r="A174" s="37" t="s">
        <v>32</v>
      </c>
      <c r="B174" s="37" t="s">
        <v>31</v>
      </c>
      <c r="C174" s="37" t="s">
        <v>24</v>
      </c>
      <c r="D174" s="37" t="s">
        <v>12</v>
      </c>
      <c r="E174" s="37">
        <v>1189.83</v>
      </c>
      <c r="F174" s="37">
        <v>2</v>
      </c>
      <c r="G174" s="37">
        <v>0.2</v>
      </c>
      <c r="H174" s="38">
        <v>45709</v>
      </c>
      <c r="I174" s="37">
        <v>380.75</v>
      </c>
      <c r="J174" s="41">
        <f t="shared" ca="1" si="2"/>
        <v>46030.754757407405</v>
      </c>
    </row>
    <row r="175" spans="1:10" ht="16.5" customHeight="1" thickBot="1" x14ac:dyDescent="0.4">
      <c r="A175" s="37" t="s">
        <v>67</v>
      </c>
      <c r="B175" s="37" t="s">
        <v>43</v>
      </c>
      <c r="C175" s="37" t="s">
        <v>20</v>
      </c>
      <c r="D175" s="37" t="s">
        <v>12</v>
      </c>
      <c r="E175" s="37">
        <v>704.28</v>
      </c>
      <c r="F175" s="37">
        <v>15</v>
      </c>
      <c r="G175" s="37">
        <v>0.2</v>
      </c>
      <c r="H175" s="38">
        <v>45712</v>
      </c>
      <c r="I175" s="37">
        <v>225.37</v>
      </c>
      <c r="J175" s="41">
        <f t="shared" ca="1" si="2"/>
        <v>46030.754757407405</v>
      </c>
    </row>
    <row r="176" spans="1:10" ht="16.5" customHeight="1" thickBot="1" x14ac:dyDescent="0.4">
      <c r="A176" s="37" t="s">
        <v>65</v>
      </c>
      <c r="B176" s="37" t="s">
        <v>47</v>
      </c>
      <c r="C176" s="37" t="s">
        <v>34</v>
      </c>
      <c r="D176" s="37" t="s">
        <v>39</v>
      </c>
      <c r="E176" s="37">
        <v>1618.22</v>
      </c>
      <c r="F176" s="37">
        <v>12</v>
      </c>
      <c r="G176" s="37">
        <v>0.2</v>
      </c>
      <c r="H176" s="38">
        <v>45712</v>
      </c>
      <c r="I176" s="37">
        <v>582.55999999999995</v>
      </c>
      <c r="J176" s="41">
        <f t="shared" ca="1" si="2"/>
        <v>46030.754757407405</v>
      </c>
    </row>
    <row r="177" spans="1:10" ht="16.5" customHeight="1" thickBot="1" x14ac:dyDescent="0.4">
      <c r="A177" s="37" t="s">
        <v>73</v>
      </c>
      <c r="B177" s="37" t="s">
        <v>53</v>
      </c>
      <c r="C177" s="37" t="s">
        <v>34</v>
      </c>
      <c r="D177" s="37" t="s">
        <v>12</v>
      </c>
      <c r="E177" s="37">
        <v>1014.43</v>
      </c>
      <c r="F177" s="37">
        <v>2</v>
      </c>
      <c r="G177" s="37">
        <v>0.15</v>
      </c>
      <c r="H177" s="38">
        <v>45713</v>
      </c>
      <c r="I177" s="37">
        <v>344.91</v>
      </c>
      <c r="J177" s="41">
        <f t="shared" ca="1" si="2"/>
        <v>46030.754757407405</v>
      </c>
    </row>
    <row r="178" spans="1:10" ht="16.5" customHeight="1" thickBot="1" x14ac:dyDescent="0.4">
      <c r="A178" s="37" t="s">
        <v>75</v>
      </c>
      <c r="B178" s="37" t="s">
        <v>31</v>
      </c>
      <c r="C178" s="37" t="s">
        <v>34</v>
      </c>
      <c r="D178" s="37" t="s">
        <v>15</v>
      </c>
      <c r="E178" s="37">
        <v>826.97</v>
      </c>
      <c r="F178" s="37">
        <v>18</v>
      </c>
      <c r="G178" s="37">
        <v>0.2</v>
      </c>
      <c r="H178" s="38">
        <v>45715</v>
      </c>
      <c r="I178" s="37">
        <v>330.79</v>
      </c>
      <c r="J178" s="41">
        <f t="shared" ca="1" si="2"/>
        <v>46030.754757407405</v>
      </c>
    </row>
    <row r="179" spans="1:10" ht="16.5" customHeight="1" thickBot="1" x14ac:dyDescent="0.4">
      <c r="A179" s="37" t="s">
        <v>16</v>
      </c>
      <c r="B179" s="37" t="s">
        <v>31</v>
      </c>
      <c r="C179" s="37" t="s">
        <v>34</v>
      </c>
      <c r="D179" s="37" t="s">
        <v>15</v>
      </c>
      <c r="E179" s="37">
        <v>1022.23</v>
      </c>
      <c r="F179" s="37">
        <v>8</v>
      </c>
      <c r="G179" s="37">
        <v>0.1</v>
      </c>
      <c r="H179" s="38">
        <v>45717</v>
      </c>
      <c r="I179" s="37">
        <v>460</v>
      </c>
      <c r="J179" s="41">
        <f t="shared" ca="1" si="2"/>
        <v>46030.754757407405</v>
      </c>
    </row>
    <row r="180" spans="1:10" ht="16.5" customHeight="1" thickBot="1" x14ac:dyDescent="0.4">
      <c r="A180" s="37" t="s">
        <v>72</v>
      </c>
      <c r="B180" s="37" t="s">
        <v>29</v>
      </c>
      <c r="C180" s="37" t="s">
        <v>18</v>
      </c>
      <c r="D180" s="37" t="s">
        <v>12</v>
      </c>
      <c r="E180" s="37">
        <v>1099.69</v>
      </c>
      <c r="F180" s="37">
        <v>6</v>
      </c>
      <c r="G180" s="37">
        <v>0</v>
      </c>
      <c r="H180" s="38">
        <v>45718</v>
      </c>
      <c r="I180" s="37">
        <v>439.88</v>
      </c>
      <c r="J180" s="41">
        <f t="shared" ca="1" si="2"/>
        <v>46030.754757407405</v>
      </c>
    </row>
    <row r="181" spans="1:10" ht="16.5" customHeight="1" thickBot="1" x14ac:dyDescent="0.4">
      <c r="A181" s="37" t="s">
        <v>52</v>
      </c>
      <c r="B181" s="37" t="s">
        <v>64</v>
      </c>
      <c r="C181" s="37" t="s">
        <v>24</v>
      </c>
      <c r="D181" s="37" t="s">
        <v>12</v>
      </c>
      <c r="E181" s="37">
        <v>710.52</v>
      </c>
      <c r="F181" s="37">
        <v>8</v>
      </c>
      <c r="G181" s="37">
        <v>0.1</v>
      </c>
      <c r="H181" s="38">
        <v>45721</v>
      </c>
      <c r="I181" s="37">
        <v>255.79</v>
      </c>
      <c r="J181" s="41">
        <f t="shared" ca="1" si="2"/>
        <v>46030.754757407405</v>
      </c>
    </row>
    <row r="182" spans="1:10" ht="16.5" customHeight="1" thickBot="1" x14ac:dyDescent="0.4">
      <c r="A182" s="37" t="s">
        <v>52</v>
      </c>
      <c r="B182" s="37" t="s">
        <v>59</v>
      </c>
      <c r="C182" s="37" t="s">
        <v>24</v>
      </c>
      <c r="D182" s="37" t="s">
        <v>12</v>
      </c>
      <c r="E182" s="37">
        <v>499.18</v>
      </c>
      <c r="F182" s="37">
        <v>15</v>
      </c>
      <c r="G182" s="37">
        <v>0.2</v>
      </c>
      <c r="H182" s="38">
        <v>45724</v>
      </c>
      <c r="I182" s="37">
        <v>159.74</v>
      </c>
      <c r="J182" s="41">
        <f t="shared" ca="1" si="2"/>
        <v>46030.754757407405</v>
      </c>
    </row>
    <row r="183" spans="1:10" ht="16.5" customHeight="1" thickBot="1" x14ac:dyDescent="0.4">
      <c r="A183" s="37" t="s">
        <v>37</v>
      </c>
      <c r="B183" s="37" t="s">
        <v>38</v>
      </c>
      <c r="C183" s="37" t="s">
        <v>20</v>
      </c>
      <c r="D183" s="37" t="s">
        <v>12</v>
      </c>
      <c r="E183" s="37">
        <v>1064.19</v>
      </c>
      <c r="F183" s="37">
        <v>18</v>
      </c>
      <c r="G183" s="37">
        <v>0.05</v>
      </c>
      <c r="H183" s="38">
        <v>45725</v>
      </c>
      <c r="I183" s="37">
        <v>404.39</v>
      </c>
      <c r="J183" s="41">
        <f t="shared" ca="1" si="2"/>
        <v>46030.754757407405</v>
      </c>
    </row>
    <row r="184" spans="1:10" ht="16.5" customHeight="1" thickBot="1" x14ac:dyDescent="0.4">
      <c r="A184" s="37" t="s">
        <v>67</v>
      </c>
      <c r="B184" s="37" t="s">
        <v>38</v>
      </c>
      <c r="C184" s="37" t="s">
        <v>18</v>
      </c>
      <c r="D184" s="37" t="s">
        <v>39</v>
      </c>
      <c r="E184" s="37">
        <v>438.76</v>
      </c>
      <c r="F184" s="37">
        <v>18</v>
      </c>
      <c r="G184" s="37">
        <v>0.05</v>
      </c>
      <c r="H184" s="38">
        <v>45726</v>
      </c>
      <c r="I184" s="37">
        <v>187.57</v>
      </c>
      <c r="J184" s="41">
        <f t="shared" ca="1" si="2"/>
        <v>46030.754757407405</v>
      </c>
    </row>
    <row r="185" spans="1:10" ht="16.5" customHeight="1" thickBot="1" x14ac:dyDescent="0.4">
      <c r="A185" s="37" t="s">
        <v>41</v>
      </c>
      <c r="B185" s="37" t="s">
        <v>55</v>
      </c>
      <c r="C185" s="37" t="s">
        <v>11</v>
      </c>
      <c r="D185" s="37" t="s">
        <v>15</v>
      </c>
      <c r="E185" s="37">
        <v>864.98</v>
      </c>
      <c r="F185" s="37">
        <v>2</v>
      </c>
      <c r="G185" s="37">
        <v>0.05</v>
      </c>
      <c r="H185" s="38">
        <v>45727</v>
      </c>
      <c r="I185" s="37">
        <v>410.87</v>
      </c>
      <c r="J185" s="41">
        <f t="shared" ca="1" si="2"/>
        <v>46030.754757407405</v>
      </c>
    </row>
    <row r="186" spans="1:10" ht="16.5" customHeight="1" thickBot="1" x14ac:dyDescent="0.4">
      <c r="A186" s="37" t="s">
        <v>57</v>
      </c>
      <c r="B186" s="37" t="s">
        <v>55</v>
      </c>
      <c r="C186" s="37" t="s">
        <v>11</v>
      </c>
      <c r="D186" s="37" t="s">
        <v>27</v>
      </c>
      <c r="E186" s="37">
        <v>984.93</v>
      </c>
      <c r="F186" s="37">
        <v>14</v>
      </c>
      <c r="G186" s="37">
        <v>0.2</v>
      </c>
      <c r="H186" s="38">
        <v>45733</v>
      </c>
      <c r="I186" s="37">
        <v>275.77999999999997</v>
      </c>
      <c r="J186" s="41">
        <f t="shared" ca="1" si="2"/>
        <v>46030.754757407405</v>
      </c>
    </row>
    <row r="187" spans="1:10" ht="16.5" customHeight="1" thickBot="1" x14ac:dyDescent="0.4">
      <c r="A187" s="37" t="s">
        <v>25</v>
      </c>
      <c r="B187" s="37" t="s">
        <v>55</v>
      </c>
      <c r="C187" s="37" t="s">
        <v>11</v>
      </c>
      <c r="D187" s="37" t="s">
        <v>15</v>
      </c>
      <c r="E187" s="37">
        <v>1493.49</v>
      </c>
      <c r="F187" s="37">
        <v>18</v>
      </c>
      <c r="G187" s="37">
        <v>0</v>
      </c>
      <c r="H187" s="38">
        <v>45734</v>
      </c>
      <c r="I187" s="37">
        <v>746.74</v>
      </c>
      <c r="J187" s="41">
        <f t="shared" ca="1" si="2"/>
        <v>46030.754757407405</v>
      </c>
    </row>
    <row r="188" spans="1:10" ht="16.5" customHeight="1" thickBot="1" x14ac:dyDescent="0.4">
      <c r="A188" s="37" t="s">
        <v>32</v>
      </c>
      <c r="B188" s="37" t="s">
        <v>53</v>
      </c>
      <c r="C188" s="37" t="s">
        <v>20</v>
      </c>
      <c r="D188" s="37" t="s">
        <v>15</v>
      </c>
      <c r="E188" s="37">
        <v>689.43</v>
      </c>
      <c r="F188" s="37">
        <v>9</v>
      </c>
      <c r="G188" s="37">
        <v>0.1</v>
      </c>
      <c r="H188" s="38">
        <v>45736</v>
      </c>
      <c r="I188" s="37">
        <v>310.24</v>
      </c>
      <c r="J188" s="41">
        <f t="shared" ca="1" si="2"/>
        <v>46030.754757407405</v>
      </c>
    </row>
    <row r="189" spans="1:10" ht="16.5" customHeight="1" thickBot="1" x14ac:dyDescent="0.4">
      <c r="A189" s="37" t="s">
        <v>40</v>
      </c>
      <c r="B189" s="37" t="s">
        <v>59</v>
      </c>
      <c r="C189" s="37" t="s">
        <v>20</v>
      </c>
      <c r="D189" s="37" t="s">
        <v>15</v>
      </c>
      <c r="E189" s="37">
        <v>682.24</v>
      </c>
      <c r="F189" s="37">
        <v>1</v>
      </c>
      <c r="G189" s="37">
        <v>0</v>
      </c>
      <c r="H189" s="38">
        <v>45738</v>
      </c>
      <c r="I189" s="37">
        <v>341.12</v>
      </c>
      <c r="J189" s="41">
        <f t="shared" ca="1" si="2"/>
        <v>46030.754757407405</v>
      </c>
    </row>
    <row r="190" spans="1:10" ht="16.5" customHeight="1" thickBot="1" x14ac:dyDescent="0.4">
      <c r="A190" s="37" t="s">
        <v>41</v>
      </c>
      <c r="B190" s="37" t="s">
        <v>26</v>
      </c>
      <c r="C190" s="37" t="s">
        <v>24</v>
      </c>
      <c r="D190" s="37" t="s">
        <v>21</v>
      </c>
      <c r="E190" s="37">
        <v>458.54</v>
      </c>
      <c r="F190" s="37">
        <v>15</v>
      </c>
      <c r="G190" s="37">
        <v>0.2</v>
      </c>
      <c r="H190" s="38">
        <v>45741</v>
      </c>
      <c r="I190" s="37">
        <v>91.71</v>
      </c>
      <c r="J190" s="41">
        <f t="shared" ca="1" si="2"/>
        <v>46030.754757407405</v>
      </c>
    </row>
    <row r="191" spans="1:10" ht="16.5" customHeight="1" thickBot="1" x14ac:dyDescent="0.4">
      <c r="A191" s="37" t="s">
        <v>32</v>
      </c>
      <c r="B191" s="37" t="s">
        <v>26</v>
      </c>
      <c r="C191" s="37" t="s">
        <v>20</v>
      </c>
      <c r="D191" s="37" t="s">
        <v>27</v>
      </c>
      <c r="E191" s="37">
        <v>1184.25</v>
      </c>
      <c r="F191" s="37">
        <v>11</v>
      </c>
      <c r="G191" s="37">
        <v>0.2</v>
      </c>
      <c r="H191" s="38">
        <v>45742</v>
      </c>
      <c r="I191" s="37">
        <v>331.59</v>
      </c>
      <c r="J191" s="41">
        <f t="shared" ca="1" si="2"/>
        <v>46030.754757407405</v>
      </c>
    </row>
    <row r="192" spans="1:10" ht="16.5" customHeight="1" thickBot="1" x14ac:dyDescent="0.4">
      <c r="A192" s="37" t="s">
        <v>25</v>
      </c>
      <c r="B192" s="37" t="s">
        <v>10</v>
      </c>
      <c r="C192" s="37" t="s">
        <v>20</v>
      </c>
      <c r="D192" s="37" t="s">
        <v>15</v>
      </c>
      <c r="E192" s="37">
        <v>762.14</v>
      </c>
      <c r="F192" s="37">
        <v>9</v>
      </c>
      <c r="G192" s="37">
        <v>0</v>
      </c>
      <c r="H192" s="38">
        <v>45743</v>
      </c>
      <c r="I192" s="37">
        <v>381.07</v>
      </c>
      <c r="J192" s="41">
        <f t="shared" ca="1" si="2"/>
        <v>46030.754757407405</v>
      </c>
    </row>
    <row r="193" spans="1:10" ht="16.5" customHeight="1" thickBot="1" x14ac:dyDescent="0.4">
      <c r="A193" s="37" t="s">
        <v>22</v>
      </c>
      <c r="B193" s="37" t="s">
        <v>53</v>
      </c>
      <c r="C193" s="37" t="s">
        <v>24</v>
      </c>
      <c r="D193" s="37" t="s">
        <v>12</v>
      </c>
      <c r="E193" s="37">
        <v>750.71</v>
      </c>
      <c r="F193" s="37">
        <v>10</v>
      </c>
      <c r="G193" s="37">
        <v>0.15</v>
      </c>
      <c r="H193" s="38">
        <v>45743</v>
      </c>
      <c r="I193" s="37">
        <v>255.24</v>
      </c>
      <c r="J193" s="41">
        <f t="shared" ca="1" si="2"/>
        <v>46030.754757407405</v>
      </c>
    </row>
    <row r="194" spans="1:10" ht="16.5" customHeight="1" thickBot="1" x14ac:dyDescent="0.4">
      <c r="A194" s="37" t="s">
        <v>75</v>
      </c>
      <c r="B194" s="37" t="s">
        <v>71</v>
      </c>
      <c r="C194" s="37" t="s">
        <v>34</v>
      </c>
      <c r="D194" s="37" t="s">
        <v>15</v>
      </c>
      <c r="E194" s="37">
        <v>1456.94</v>
      </c>
      <c r="F194" s="37">
        <v>14</v>
      </c>
      <c r="G194" s="37">
        <v>0.05</v>
      </c>
      <c r="H194" s="38">
        <v>45745</v>
      </c>
      <c r="I194" s="37">
        <v>692.05</v>
      </c>
      <c r="J194" s="41">
        <f t="shared" ca="1" si="2"/>
        <v>46030.754757407405</v>
      </c>
    </row>
    <row r="195" spans="1:10" ht="16.5" customHeight="1" thickBot="1" x14ac:dyDescent="0.4">
      <c r="A195" s="37" t="s">
        <v>44</v>
      </c>
      <c r="B195" s="37" t="s">
        <v>61</v>
      </c>
      <c r="C195" s="37" t="s">
        <v>18</v>
      </c>
      <c r="D195" s="37" t="s">
        <v>27</v>
      </c>
      <c r="E195" s="37">
        <v>1093.3800000000001</v>
      </c>
      <c r="F195" s="37">
        <v>17</v>
      </c>
      <c r="G195" s="37">
        <v>0.1</v>
      </c>
      <c r="H195" s="38">
        <v>45745</v>
      </c>
      <c r="I195" s="37">
        <v>344.41</v>
      </c>
      <c r="J195" s="41">
        <f t="shared" ref="J195:J201" ca="1" si="3">NOW()</f>
        <v>46030.754757407405</v>
      </c>
    </row>
    <row r="196" spans="1:10" ht="16.5" customHeight="1" thickBot="1" x14ac:dyDescent="0.4">
      <c r="A196" s="37" t="s">
        <v>37</v>
      </c>
      <c r="B196" s="37" t="s">
        <v>43</v>
      </c>
      <c r="C196" s="37" t="s">
        <v>11</v>
      </c>
      <c r="D196" s="37" t="s">
        <v>15</v>
      </c>
      <c r="E196" s="37">
        <v>934.27</v>
      </c>
      <c r="F196" s="37">
        <v>8</v>
      </c>
      <c r="G196" s="37">
        <v>0.15</v>
      </c>
      <c r="H196" s="38">
        <v>45746</v>
      </c>
      <c r="I196" s="37">
        <v>397.06</v>
      </c>
      <c r="J196" s="41">
        <f t="shared" ca="1" si="3"/>
        <v>46030.754757407405</v>
      </c>
    </row>
    <row r="197" spans="1:10" ht="16.5" customHeight="1" thickBot="1" x14ac:dyDescent="0.4">
      <c r="A197" s="37" t="s">
        <v>70</v>
      </c>
      <c r="B197" s="37" t="s">
        <v>36</v>
      </c>
      <c r="C197" s="37" t="s">
        <v>34</v>
      </c>
      <c r="D197" s="37" t="s">
        <v>15</v>
      </c>
      <c r="E197" s="37">
        <v>1465.35</v>
      </c>
      <c r="F197" s="37">
        <v>8</v>
      </c>
      <c r="G197" s="37">
        <v>0.2</v>
      </c>
      <c r="H197" s="38">
        <v>45746</v>
      </c>
      <c r="I197" s="37">
        <v>586.14</v>
      </c>
      <c r="J197" s="41">
        <f t="shared" ca="1" si="3"/>
        <v>46030.754757407405</v>
      </c>
    </row>
    <row r="198" spans="1:10" ht="16.5" customHeight="1" thickBot="1" x14ac:dyDescent="0.4">
      <c r="A198" s="37" t="s">
        <v>52</v>
      </c>
      <c r="B198" s="37" t="s">
        <v>14</v>
      </c>
      <c r="C198" s="37" t="s">
        <v>20</v>
      </c>
      <c r="D198" s="37" t="s">
        <v>39</v>
      </c>
      <c r="E198" s="37">
        <v>740.8</v>
      </c>
      <c r="F198" s="37">
        <v>3</v>
      </c>
      <c r="G198" s="37">
        <v>0</v>
      </c>
      <c r="H198" s="38">
        <v>45749</v>
      </c>
      <c r="I198" s="37">
        <v>333.36</v>
      </c>
      <c r="J198" s="41">
        <f t="shared" ca="1" si="3"/>
        <v>46030.754757407405</v>
      </c>
    </row>
    <row r="199" spans="1:10" ht="16.5" customHeight="1" thickBot="1" x14ac:dyDescent="0.4">
      <c r="A199" s="37" t="s">
        <v>58</v>
      </c>
      <c r="B199" s="37" t="s">
        <v>43</v>
      </c>
      <c r="C199" s="37" t="s">
        <v>11</v>
      </c>
      <c r="D199" s="37" t="s">
        <v>39</v>
      </c>
      <c r="E199" s="37">
        <v>545.44000000000005</v>
      </c>
      <c r="F199" s="37">
        <v>17</v>
      </c>
      <c r="G199" s="37">
        <v>0</v>
      </c>
      <c r="H199" s="38">
        <v>45752</v>
      </c>
      <c r="I199" s="37">
        <v>245.45</v>
      </c>
      <c r="J199" s="41">
        <f t="shared" ca="1" si="3"/>
        <v>46030.754757407405</v>
      </c>
    </row>
    <row r="200" spans="1:10" ht="16.5" customHeight="1" thickBot="1" x14ac:dyDescent="0.4">
      <c r="A200" s="37" t="s">
        <v>35</v>
      </c>
      <c r="B200" s="37" t="s">
        <v>36</v>
      </c>
      <c r="C200" s="37" t="s">
        <v>18</v>
      </c>
      <c r="D200" s="37" t="s">
        <v>12</v>
      </c>
      <c r="E200" s="37">
        <v>997.61</v>
      </c>
      <c r="F200" s="37">
        <v>8</v>
      </c>
      <c r="G200" s="37">
        <v>0.05</v>
      </c>
      <c r="H200" s="38">
        <v>45752</v>
      </c>
      <c r="I200" s="37">
        <v>379.09</v>
      </c>
      <c r="J200" s="41">
        <f t="shared" ca="1" si="3"/>
        <v>46030.754757407405</v>
      </c>
    </row>
    <row r="201" spans="1:10" ht="16.5" customHeight="1" thickBot="1" x14ac:dyDescent="0.4">
      <c r="A201" s="37" t="s">
        <v>60</v>
      </c>
      <c r="B201" s="37" t="s">
        <v>36</v>
      </c>
      <c r="C201" s="37" t="s">
        <v>20</v>
      </c>
      <c r="D201" s="37" t="s">
        <v>15</v>
      </c>
      <c r="E201" s="37">
        <v>928.32</v>
      </c>
      <c r="F201" s="37">
        <v>2</v>
      </c>
      <c r="G201" s="37">
        <v>0.05</v>
      </c>
      <c r="H201" s="38">
        <v>45754</v>
      </c>
      <c r="I201" s="37">
        <v>440.95</v>
      </c>
      <c r="J201" s="41">
        <f t="shared" ca="1" si="3"/>
        <v>46030.754757407405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7E568-17A6-48F2-99B8-818505B3DD8F}">
  <dimension ref="A1:U892"/>
  <sheetViews>
    <sheetView workbookViewId="0">
      <selection activeCell="F204" sqref="F204"/>
    </sheetView>
  </sheetViews>
  <sheetFormatPr defaultRowHeight="14.5" x14ac:dyDescent="0.35"/>
  <cols>
    <col min="1" max="1" width="13.81640625" customWidth="1"/>
    <col min="2" max="2" width="16.90625" customWidth="1"/>
    <col min="3" max="3" width="11" customWidth="1"/>
    <col min="4" max="4" width="17.90625" customWidth="1"/>
    <col min="6" max="7" width="10.1796875" customWidth="1"/>
    <col min="8" max="8" width="13.26953125" customWidth="1"/>
    <col min="10" max="10" width="16.453125" customWidth="1"/>
  </cols>
  <sheetData>
    <row r="1" spans="1:21" ht="16.5" customHeight="1" thickBot="1" x14ac:dyDescent="0.4">
      <c r="A1" s="42" t="s">
        <v>0</v>
      </c>
      <c r="B1" s="16" t="s">
        <v>1</v>
      </c>
      <c r="C1" s="16" t="s">
        <v>2</v>
      </c>
      <c r="D1" s="16" t="s">
        <v>3</v>
      </c>
      <c r="E1" s="16" t="s">
        <v>4</v>
      </c>
      <c r="F1" s="16" t="s">
        <v>5</v>
      </c>
      <c r="G1" s="16" t="s">
        <v>6</v>
      </c>
      <c r="H1" s="16" t="s">
        <v>7</v>
      </c>
      <c r="I1" s="16" t="s">
        <v>8</v>
      </c>
      <c r="J1" s="8" t="s">
        <v>76</v>
      </c>
      <c r="L1" s="35"/>
      <c r="M1" s="35"/>
      <c r="N1" s="35"/>
      <c r="O1" s="35"/>
      <c r="P1" s="35"/>
      <c r="Q1" s="35"/>
      <c r="R1" s="35"/>
      <c r="S1" s="35"/>
      <c r="T1" s="35"/>
      <c r="U1" s="35"/>
    </row>
    <row r="2" spans="1:21" ht="16.5" hidden="1" customHeight="1" thickBot="1" x14ac:dyDescent="0.4">
      <c r="A2" s="4" t="s">
        <v>9</v>
      </c>
      <c r="B2" s="1" t="s">
        <v>10</v>
      </c>
      <c r="C2" s="1" t="s">
        <v>11</v>
      </c>
      <c r="D2" s="1" t="s">
        <v>12</v>
      </c>
      <c r="E2" s="2">
        <v>1036.0899999999999</v>
      </c>
      <c r="F2" s="2">
        <v>4</v>
      </c>
      <c r="G2" s="2">
        <v>0.2</v>
      </c>
      <c r="H2" s="3">
        <v>45392</v>
      </c>
      <c r="I2" s="2">
        <v>331.55</v>
      </c>
      <c r="J2" s="43">
        <f>Sales_Data1[[#This Row],[Sales]]*Sales_Data1[[#This Row],[Quantity]]*(1-Sales_Data1[[#This Row],[Discount]])</f>
        <v>3315.4879999999998</v>
      </c>
    </row>
    <row r="3" spans="1:21" ht="16.5" hidden="1" customHeight="1" thickBot="1" x14ac:dyDescent="0.4">
      <c r="A3" s="4" t="s">
        <v>13</v>
      </c>
      <c r="B3" s="1" t="s">
        <v>14</v>
      </c>
      <c r="C3" s="1" t="s">
        <v>11</v>
      </c>
      <c r="D3" s="1" t="s">
        <v>15</v>
      </c>
      <c r="E3" s="2">
        <v>1101.28</v>
      </c>
      <c r="F3" s="2">
        <v>3</v>
      </c>
      <c r="G3" s="2">
        <v>0.2</v>
      </c>
      <c r="H3" s="3">
        <v>45393</v>
      </c>
      <c r="I3" s="2">
        <v>440.51</v>
      </c>
      <c r="J3" s="5">
        <f>Sales_Data1[[#This Row],[Sales]]*Sales_Data1[[#This Row],[Quantity]]*(1-Sales_Data1[[#This Row],[Discount]])</f>
        <v>2643.0720000000001</v>
      </c>
    </row>
    <row r="4" spans="1:21" ht="16.5" hidden="1" customHeight="1" thickBot="1" x14ac:dyDescent="0.4">
      <c r="A4" s="4" t="s">
        <v>16</v>
      </c>
      <c r="B4" s="1" t="s">
        <v>17</v>
      </c>
      <c r="C4" s="1" t="s">
        <v>18</v>
      </c>
      <c r="D4" s="1" t="s">
        <v>12</v>
      </c>
      <c r="E4" s="2">
        <v>713.34</v>
      </c>
      <c r="F4" s="2">
        <v>17</v>
      </c>
      <c r="G4" s="2">
        <v>0</v>
      </c>
      <c r="H4" s="3">
        <v>45396</v>
      </c>
      <c r="I4" s="2">
        <v>285.33999999999997</v>
      </c>
      <c r="J4" s="5">
        <f>Sales_Data1[[#This Row],[Sales]]*Sales_Data1[[#This Row],[Quantity]]*(1-Sales_Data1[[#This Row],[Discount]])</f>
        <v>12126.78</v>
      </c>
    </row>
    <row r="5" spans="1:21" ht="16.5" hidden="1" customHeight="1" thickBot="1" x14ac:dyDescent="0.4">
      <c r="A5" s="4" t="s">
        <v>19</v>
      </c>
      <c r="B5" s="1" t="s">
        <v>14</v>
      </c>
      <c r="C5" s="1" t="s">
        <v>20</v>
      </c>
      <c r="D5" s="1" t="s">
        <v>21</v>
      </c>
      <c r="E5" s="2">
        <v>760.93</v>
      </c>
      <c r="F5" s="2">
        <v>4</v>
      </c>
      <c r="G5" s="2">
        <v>0.15</v>
      </c>
      <c r="H5" s="3">
        <v>45396</v>
      </c>
      <c r="I5" s="2">
        <v>161.69999999999999</v>
      </c>
      <c r="J5" s="5">
        <f>Sales_Data1[[#This Row],[Sales]]*Sales_Data1[[#This Row],[Quantity]]*(1-Sales_Data1[[#This Row],[Discount]])</f>
        <v>2587.1619999999998</v>
      </c>
    </row>
    <row r="6" spans="1:21" ht="16.5" hidden="1" customHeight="1" thickBot="1" x14ac:dyDescent="0.4">
      <c r="A6" s="4" t="s">
        <v>22</v>
      </c>
      <c r="B6" s="1" t="s">
        <v>23</v>
      </c>
      <c r="C6" s="1" t="s">
        <v>24</v>
      </c>
      <c r="D6" s="1" t="s">
        <v>12</v>
      </c>
      <c r="E6" s="2">
        <v>847</v>
      </c>
      <c r="F6" s="2">
        <v>12</v>
      </c>
      <c r="G6" s="2">
        <v>0.2</v>
      </c>
      <c r="H6" s="3">
        <v>45397</v>
      </c>
      <c r="I6" s="2">
        <v>271.04000000000002</v>
      </c>
      <c r="J6" s="5">
        <f>Sales_Data1[[#This Row],[Sales]]*Sales_Data1[[#This Row],[Quantity]]*(1-Sales_Data1[[#This Row],[Discount]])</f>
        <v>8131.2000000000007</v>
      </c>
    </row>
    <row r="7" spans="1:21" ht="16.5" hidden="1" customHeight="1" thickBot="1" x14ac:dyDescent="0.4">
      <c r="A7" s="4" t="s">
        <v>25</v>
      </c>
      <c r="B7" s="1" t="s">
        <v>26</v>
      </c>
      <c r="C7" s="1" t="s">
        <v>24</v>
      </c>
      <c r="D7" s="1" t="s">
        <v>27</v>
      </c>
      <c r="E7" s="2">
        <v>965.64</v>
      </c>
      <c r="F7" s="2">
        <v>8</v>
      </c>
      <c r="G7" s="2">
        <v>0.1</v>
      </c>
      <c r="H7" s="3">
        <v>45398</v>
      </c>
      <c r="I7" s="2">
        <v>304.18</v>
      </c>
      <c r="J7" s="5">
        <f>Sales_Data1[[#This Row],[Sales]]*Sales_Data1[[#This Row],[Quantity]]*(1-Sales_Data1[[#This Row],[Discount]])</f>
        <v>6952.6080000000002</v>
      </c>
    </row>
    <row r="8" spans="1:21" ht="16.5" hidden="1" customHeight="1" thickBot="1" x14ac:dyDescent="0.4">
      <c r="A8" s="4" t="s">
        <v>28</v>
      </c>
      <c r="B8" s="1" t="s">
        <v>29</v>
      </c>
      <c r="C8" s="1" t="s">
        <v>11</v>
      </c>
      <c r="D8" s="1" t="s">
        <v>21</v>
      </c>
      <c r="E8" s="2">
        <v>1317.53</v>
      </c>
      <c r="F8" s="2">
        <v>12</v>
      </c>
      <c r="G8" s="2">
        <v>0.05</v>
      </c>
      <c r="H8" s="3">
        <v>45398</v>
      </c>
      <c r="I8" s="2">
        <v>312.91000000000003</v>
      </c>
      <c r="J8" s="5">
        <f>Sales_Data1[[#This Row],[Sales]]*Sales_Data1[[#This Row],[Quantity]]*(1-Sales_Data1[[#This Row],[Discount]])</f>
        <v>15019.842000000001</v>
      </c>
    </row>
    <row r="9" spans="1:21" ht="16.5" hidden="1" customHeight="1" thickBot="1" x14ac:dyDescent="0.4">
      <c r="A9" s="4" t="s">
        <v>30</v>
      </c>
      <c r="B9" s="1" t="s">
        <v>31</v>
      </c>
      <c r="C9" s="1" t="s">
        <v>18</v>
      </c>
      <c r="D9" s="1" t="s">
        <v>27</v>
      </c>
      <c r="E9" s="2">
        <v>1074.47</v>
      </c>
      <c r="F9" s="2">
        <v>6</v>
      </c>
      <c r="G9" s="2">
        <v>0.2</v>
      </c>
      <c r="H9" s="3">
        <v>45401</v>
      </c>
      <c r="I9" s="2">
        <v>300.85000000000002</v>
      </c>
      <c r="J9" s="5">
        <f>Sales_Data1[[#This Row],[Sales]]*Sales_Data1[[#This Row],[Quantity]]*(1-Sales_Data1[[#This Row],[Discount]])</f>
        <v>5157.4560000000001</v>
      </c>
    </row>
    <row r="10" spans="1:21" ht="16.5" hidden="1" customHeight="1" thickBot="1" x14ac:dyDescent="0.4">
      <c r="A10" s="4" t="s">
        <v>32</v>
      </c>
      <c r="B10" s="1" t="s">
        <v>33</v>
      </c>
      <c r="C10" s="1" t="s">
        <v>34</v>
      </c>
      <c r="D10" s="1" t="s">
        <v>12</v>
      </c>
      <c r="E10" s="2">
        <v>501.54</v>
      </c>
      <c r="F10" s="2">
        <v>11</v>
      </c>
      <c r="G10" s="2">
        <v>0.05</v>
      </c>
      <c r="H10" s="3">
        <v>45401</v>
      </c>
      <c r="I10" s="2">
        <v>190.59</v>
      </c>
      <c r="J10" s="5">
        <f>Sales_Data1[[#This Row],[Sales]]*Sales_Data1[[#This Row],[Quantity]]*(1-Sales_Data1[[#This Row],[Discount]])</f>
        <v>5241.0929999999998</v>
      </c>
    </row>
    <row r="11" spans="1:21" ht="16.5" hidden="1" customHeight="1" thickBot="1" x14ac:dyDescent="0.4">
      <c r="A11" s="4" t="s">
        <v>35</v>
      </c>
      <c r="B11" s="1" t="s">
        <v>36</v>
      </c>
      <c r="C11" s="1" t="s">
        <v>34</v>
      </c>
      <c r="D11" s="1" t="s">
        <v>15</v>
      </c>
      <c r="E11" s="2">
        <v>737.31</v>
      </c>
      <c r="F11" s="2">
        <v>2</v>
      </c>
      <c r="G11" s="2">
        <v>0.05</v>
      </c>
      <c r="H11" s="3">
        <v>45401</v>
      </c>
      <c r="I11" s="2">
        <v>350.22</v>
      </c>
      <c r="J11" s="5">
        <f>Sales_Data1[[#This Row],[Sales]]*Sales_Data1[[#This Row],[Quantity]]*(1-Sales_Data1[[#This Row],[Discount]])</f>
        <v>1400.8889999999999</v>
      </c>
    </row>
    <row r="12" spans="1:21" ht="16.5" hidden="1" customHeight="1" thickBot="1" x14ac:dyDescent="0.4">
      <c r="A12" s="4" t="s">
        <v>37</v>
      </c>
      <c r="B12" s="1" t="s">
        <v>38</v>
      </c>
      <c r="C12" s="1" t="s">
        <v>11</v>
      </c>
      <c r="D12" s="1" t="s">
        <v>39</v>
      </c>
      <c r="E12" s="2">
        <v>1572.82</v>
      </c>
      <c r="F12" s="2">
        <v>6</v>
      </c>
      <c r="G12" s="2">
        <v>0.05</v>
      </c>
      <c r="H12" s="3">
        <v>45402</v>
      </c>
      <c r="I12" s="2">
        <v>672.38</v>
      </c>
      <c r="J12" s="5">
        <f>Sales_Data1[[#This Row],[Sales]]*Sales_Data1[[#This Row],[Quantity]]*(1-Sales_Data1[[#This Row],[Discount]])</f>
        <v>8965.0740000000005</v>
      </c>
    </row>
    <row r="13" spans="1:21" ht="16.5" hidden="1" customHeight="1" thickBot="1" x14ac:dyDescent="0.4">
      <c r="A13" s="4" t="s">
        <v>37</v>
      </c>
      <c r="B13" s="1" t="s">
        <v>36</v>
      </c>
      <c r="C13" s="1" t="s">
        <v>34</v>
      </c>
      <c r="D13" s="1" t="s">
        <v>12</v>
      </c>
      <c r="E13" s="2">
        <v>1343.13</v>
      </c>
      <c r="F13" s="2">
        <v>14</v>
      </c>
      <c r="G13" s="2">
        <v>0.15</v>
      </c>
      <c r="H13" s="3">
        <v>45404</v>
      </c>
      <c r="I13" s="2">
        <v>456.66</v>
      </c>
      <c r="J13" s="5">
        <f>Sales_Data1[[#This Row],[Sales]]*Sales_Data1[[#This Row],[Quantity]]*(1-Sales_Data1[[#This Row],[Discount]])</f>
        <v>15983.246999999999</v>
      </c>
    </row>
    <row r="14" spans="1:21" ht="16.5" hidden="1" customHeight="1" thickBot="1" x14ac:dyDescent="0.4">
      <c r="A14" s="4" t="s">
        <v>25</v>
      </c>
      <c r="B14" s="1" t="s">
        <v>26</v>
      </c>
      <c r="C14" s="1" t="s">
        <v>34</v>
      </c>
      <c r="D14" s="1" t="s">
        <v>12</v>
      </c>
      <c r="E14" s="2">
        <v>1191.58</v>
      </c>
      <c r="F14" s="2">
        <v>14</v>
      </c>
      <c r="G14" s="2">
        <v>0.05</v>
      </c>
      <c r="H14" s="3">
        <v>45406</v>
      </c>
      <c r="I14" s="2">
        <v>452.8</v>
      </c>
      <c r="J14" s="5">
        <f>Sales_Data1[[#This Row],[Sales]]*Sales_Data1[[#This Row],[Quantity]]*(1-Sales_Data1[[#This Row],[Discount]])</f>
        <v>15848.013999999997</v>
      </c>
    </row>
    <row r="15" spans="1:21" ht="16.5" hidden="1" customHeight="1" thickBot="1" x14ac:dyDescent="0.4">
      <c r="A15" s="4" t="s">
        <v>40</v>
      </c>
      <c r="B15" s="1" t="s">
        <v>14</v>
      </c>
      <c r="C15" s="1" t="s">
        <v>11</v>
      </c>
      <c r="D15" s="1" t="s">
        <v>27</v>
      </c>
      <c r="E15" s="2">
        <v>822.28</v>
      </c>
      <c r="F15" s="2">
        <v>7</v>
      </c>
      <c r="G15" s="2">
        <v>0.05</v>
      </c>
      <c r="H15" s="3">
        <v>45406</v>
      </c>
      <c r="I15" s="2">
        <v>273.41000000000003</v>
      </c>
      <c r="J15" s="5">
        <f>Sales_Data1[[#This Row],[Sales]]*Sales_Data1[[#This Row],[Quantity]]*(1-Sales_Data1[[#This Row],[Discount]])</f>
        <v>5468.1619999999994</v>
      </c>
    </row>
    <row r="16" spans="1:21" ht="16.5" hidden="1" customHeight="1" thickBot="1" x14ac:dyDescent="0.4">
      <c r="A16" s="4" t="s">
        <v>41</v>
      </c>
      <c r="B16" s="1" t="s">
        <v>42</v>
      </c>
      <c r="C16" s="1" t="s">
        <v>24</v>
      </c>
      <c r="D16" s="1" t="s">
        <v>27</v>
      </c>
      <c r="E16" s="2">
        <v>521.66999999999996</v>
      </c>
      <c r="F16" s="2">
        <v>15</v>
      </c>
      <c r="G16" s="2">
        <v>0.15</v>
      </c>
      <c r="H16" s="3">
        <v>45409</v>
      </c>
      <c r="I16" s="2">
        <v>155.19999999999999</v>
      </c>
      <c r="J16" s="5">
        <f>Sales_Data1[[#This Row],[Sales]]*Sales_Data1[[#This Row],[Quantity]]*(1-Sales_Data1[[#This Row],[Discount]])</f>
        <v>6651.2924999999996</v>
      </c>
    </row>
    <row r="17" spans="1:10" ht="16.5" hidden="1" customHeight="1" thickBot="1" x14ac:dyDescent="0.4">
      <c r="A17" s="4" t="s">
        <v>19</v>
      </c>
      <c r="B17" s="1" t="s">
        <v>43</v>
      </c>
      <c r="C17" s="1" t="s">
        <v>20</v>
      </c>
      <c r="D17" s="1" t="s">
        <v>21</v>
      </c>
      <c r="E17" s="2">
        <v>1502.93</v>
      </c>
      <c r="F17" s="2">
        <v>14</v>
      </c>
      <c r="G17" s="2">
        <v>0.2</v>
      </c>
      <c r="H17" s="3">
        <v>45410</v>
      </c>
      <c r="I17" s="2">
        <v>300.58999999999997</v>
      </c>
      <c r="J17" s="5">
        <f>Sales_Data1[[#This Row],[Sales]]*Sales_Data1[[#This Row],[Quantity]]*(1-Sales_Data1[[#This Row],[Discount]])</f>
        <v>16832.816000000003</v>
      </c>
    </row>
    <row r="18" spans="1:10" ht="16.5" hidden="1" customHeight="1" thickBot="1" x14ac:dyDescent="0.4">
      <c r="A18" s="4" t="s">
        <v>44</v>
      </c>
      <c r="B18" s="1" t="s">
        <v>14</v>
      </c>
      <c r="C18" s="1" t="s">
        <v>20</v>
      </c>
      <c r="D18" s="1" t="s">
        <v>12</v>
      </c>
      <c r="E18" s="2">
        <v>877.58</v>
      </c>
      <c r="F18" s="2">
        <v>10</v>
      </c>
      <c r="G18" s="2">
        <v>0.15</v>
      </c>
      <c r="H18" s="3">
        <v>45411</v>
      </c>
      <c r="I18" s="2">
        <v>298.38</v>
      </c>
      <c r="J18" s="5">
        <f>Sales_Data1[[#This Row],[Sales]]*Sales_Data1[[#This Row],[Quantity]]*(1-Sales_Data1[[#This Row],[Discount]])</f>
        <v>7459.43</v>
      </c>
    </row>
    <row r="19" spans="1:10" ht="16.5" hidden="1" customHeight="1" thickBot="1" x14ac:dyDescent="0.4">
      <c r="A19" s="4" t="s">
        <v>28</v>
      </c>
      <c r="B19" s="1" t="s">
        <v>45</v>
      </c>
      <c r="C19" s="1" t="s">
        <v>11</v>
      </c>
      <c r="D19" s="1" t="s">
        <v>12</v>
      </c>
      <c r="E19" s="2">
        <v>636.70000000000005</v>
      </c>
      <c r="F19" s="2">
        <v>4</v>
      </c>
      <c r="G19" s="2">
        <v>0.2</v>
      </c>
      <c r="H19" s="3">
        <v>45411</v>
      </c>
      <c r="I19" s="2">
        <v>203.74</v>
      </c>
      <c r="J19" s="5">
        <f>Sales_Data1[[#This Row],[Sales]]*Sales_Data1[[#This Row],[Quantity]]*(1-Sales_Data1[[#This Row],[Discount]])</f>
        <v>2037.4400000000003</v>
      </c>
    </row>
    <row r="20" spans="1:10" ht="16.5" hidden="1" customHeight="1" thickBot="1" x14ac:dyDescent="0.4">
      <c r="A20" s="4" t="s">
        <v>46</v>
      </c>
      <c r="B20" s="1" t="s">
        <v>47</v>
      </c>
      <c r="C20" s="1" t="s">
        <v>11</v>
      </c>
      <c r="D20" s="1" t="s">
        <v>12</v>
      </c>
      <c r="E20" s="2">
        <v>1506.14</v>
      </c>
      <c r="F20" s="2">
        <v>13</v>
      </c>
      <c r="G20" s="2">
        <v>0.2</v>
      </c>
      <c r="H20" s="3">
        <v>45412</v>
      </c>
      <c r="I20" s="2">
        <v>481.96</v>
      </c>
      <c r="J20" s="5">
        <f>Sales_Data1[[#This Row],[Sales]]*Sales_Data1[[#This Row],[Quantity]]*(1-Sales_Data1[[#This Row],[Discount]])</f>
        <v>15663.856</v>
      </c>
    </row>
    <row r="21" spans="1:10" ht="16.5" hidden="1" customHeight="1" thickBot="1" x14ac:dyDescent="0.4">
      <c r="A21" s="4" t="s">
        <v>30</v>
      </c>
      <c r="B21" s="1" t="s">
        <v>31</v>
      </c>
      <c r="C21" s="1" t="s">
        <v>34</v>
      </c>
      <c r="D21" s="1" t="s">
        <v>21</v>
      </c>
      <c r="E21" s="2">
        <v>645.02</v>
      </c>
      <c r="F21" s="2">
        <v>4</v>
      </c>
      <c r="G21" s="2">
        <v>0</v>
      </c>
      <c r="H21" s="3">
        <v>45414</v>
      </c>
      <c r="I21" s="2">
        <v>161.26</v>
      </c>
      <c r="J21" s="5">
        <f>Sales_Data1[[#This Row],[Sales]]*Sales_Data1[[#This Row],[Quantity]]*(1-Sales_Data1[[#This Row],[Discount]])</f>
        <v>2580.08</v>
      </c>
    </row>
    <row r="22" spans="1:10" ht="16.5" hidden="1" customHeight="1" thickBot="1" x14ac:dyDescent="0.4">
      <c r="A22" s="4" t="s">
        <v>25</v>
      </c>
      <c r="B22" s="1" t="s">
        <v>48</v>
      </c>
      <c r="C22" s="1" t="s">
        <v>20</v>
      </c>
      <c r="D22" s="1" t="s">
        <v>15</v>
      </c>
      <c r="E22" s="2">
        <v>953.3</v>
      </c>
      <c r="F22" s="2">
        <v>11</v>
      </c>
      <c r="G22" s="2">
        <v>0</v>
      </c>
      <c r="H22" s="3">
        <v>45415</v>
      </c>
      <c r="I22" s="2">
        <v>476.65</v>
      </c>
      <c r="J22" s="5">
        <f>Sales_Data1[[#This Row],[Sales]]*Sales_Data1[[#This Row],[Quantity]]*(1-Sales_Data1[[#This Row],[Discount]])</f>
        <v>10486.3</v>
      </c>
    </row>
    <row r="23" spans="1:10" ht="16.5" hidden="1" customHeight="1" thickBot="1" x14ac:dyDescent="0.4">
      <c r="A23" s="4" t="s">
        <v>49</v>
      </c>
      <c r="B23" s="1" t="s">
        <v>14</v>
      </c>
      <c r="C23" s="1" t="s">
        <v>24</v>
      </c>
      <c r="D23" s="1" t="s">
        <v>21</v>
      </c>
      <c r="E23" s="2">
        <v>388.56</v>
      </c>
      <c r="F23" s="2">
        <v>14</v>
      </c>
      <c r="G23" s="2">
        <v>0.15</v>
      </c>
      <c r="H23" s="3">
        <v>45416</v>
      </c>
      <c r="I23" s="2">
        <v>82.57</v>
      </c>
      <c r="J23" s="5">
        <f>Sales_Data1[[#This Row],[Sales]]*Sales_Data1[[#This Row],[Quantity]]*(1-Sales_Data1[[#This Row],[Discount]])</f>
        <v>4623.8639999999996</v>
      </c>
    </row>
    <row r="24" spans="1:10" ht="16.5" hidden="1" customHeight="1" thickBot="1" x14ac:dyDescent="0.4">
      <c r="A24" s="4" t="s">
        <v>9</v>
      </c>
      <c r="B24" s="1" t="s">
        <v>31</v>
      </c>
      <c r="C24" s="1" t="s">
        <v>11</v>
      </c>
      <c r="D24" s="1" t="s">
        <v>12</v>
      </c>
      <c r="E24" s="2">
        <v>743.17</v>
      </c>
      <c r="F24" s="2">
        <v>9</v>
      </c>
      <c r="G24" s="2">
        <v>0</v>
      </c>
      <c r="H24" s="3">
        <v>45416</v>
      </c>
      <c r="I24" s="2">
        <v>297.27</v>
      </c>
      <c r="J24" s="5">
        <f>Sales_Data1[[#This Row],[Sales]]*Sales_Data1[[#This Row],[Quantity]]*(1-Sales_Data1[[#This Row],[Discount]])</f>
        <v>6688.53</v>
      </c>
    </row>
    <row r="25" spans="1:10" ht="16.5" hidden="1" customHeight="1" thickBot="1" x14ac:dyDescent="0.4">
      <c r="A25" s="4" t="s">
        <v>40</v>
      </c>
      <c r="B25" s="1" t="s">
        <v>31</v>
      </c>
      <c r="C25" s="1" t="s">
        <v>34</v>
      </c>
      <c r="D25" s="1" t="s">
        <v>21</v>
      </c>
      <c r="E25" s="2">
        <v>706.37</v>
      </c>
      <c r="F25" s="2">
        <v>6</v>
      </c>
      <c r="G25" s="2">
        <v>0</v>
      </c>
      <c r="H25" s="3">
        <v>45416</v>
      </c>
      <c r="I25" s="2">
        <v>176.59</v>
      </c>
      <c r="J25" s="5">
        <f>Sales_Data1[[#This Row],[Sales]]*Sales_Data1[[#This Row],[Quantity]]*(1-Sales_Data1[[#This Row],[Discount]])</f>
        <v>4238.22</v>
      </c>
    </row>
    <row r="26" spans="1:10" ht="16.5" hidden="1" customHeight="1" thickBot="1" x14ac:dyDescent="0.4">
      <c r="A26" s="4" t="s">
        <v>13</v>
      </c>
      <c r="B26" s="1" t="s">
        <v>31</v>
      </c>
      <c r="C26" s="1" t="s">
        <v>34</v>
      </c>
      <c r="D26" s="1" t="s">
        <v>39</v>
      </c>
      <c r="E26" s="2">
        <v>925.31</v>
      </c>
      <c r="F26" s="2">
        <v>8</v>
      </c>
      <c r="G26" s="2">
        <v>0.1</v>
      </c>
      <c r="H26" s="3">
        <v>45418</v>
      </c>
      <c r="I26" s="2">
        <v>374.75</v>
      </c>
      <c r="J26" s="5">
        <f>Sales_Data1[[#This Row],[Sales]]*Sales_Data1[[#This Row],[Quantity]]*(1-Sales_Data1[[#This Row],[Discount]])</f>
        <v>6662.232</v>
      </c>
    </row>
    <row r="27" spans="1:10" ht="16.5" customHeight="1" thickBot="1" x14ac:dyDescent="0.4">
      <c r="A27" s="4" t="s">
        <v>35</v>
      </c>
      <c r="B27" s="1" t="s">
        <v>50</v>
      </c>
      <c r="C27" s="1" t="s">
        <v>20</v>
      </c>
      <c r="D27" s="1" t="s">
        <v>21</v>
      </c>
      <c r="E27" s="2">
        <v>1173.1199999999999</v>
      </c>
      <c r="F27" s="2">
        <v>18</v>
      </c>
      <c r="G27" s="2">
        <v>0</v>
      </c>
      <c r="H27" s="3">
        <v>45418</v>
      </c>
      <c r="I27" s="2">
        <v>293.27999999999997</v>
      </c>
      <c r="J27" s="5">
        <f>Sales_Data1[[#This Row],[Sales]]*Sales_Data1[[#This Row],[Quantity]]*(1-Sales_Data1[[#This Row],[Discount]])</f>
        <v>21116.159999999996</v>
      </c>
    </row>
    <row r="28" spans="1:10" ht="16.5" hidden="1" customHeight="1" thickBot="1" x14ac:dyDescent="0.4">
      <c r="A28" s="4" t="s">
        <v>22</v>
      </c>
      <c r="B28" s="1" t="s">
        <v>51</v>
      </c>
      <c r="C28" s="1" t="s">
        <v>24</v>
      </c>
      <c r="D28" s="1" t="s">
        <v>27</v>
      </c>
      <c r="E28" s="2">
        <v>675.54</v>
      </c>
      <c r="F28" s="2">
        <v>17</v>
      </c>
      <c r="G28" s="2">
        <v>0</v>
      </c>
      <c r="H28" s="3">
        <v>45420</v>
      </c>
      <c r="I28" s="2">
        <v>236.44</v>
      </c>
      <c r="J28" s="5">
        <f>Sales_Data1[[#This Row],[Sales]]*Sales_Data1[[#This Row],[Quantity]]*(1-Sales_Data1[[#This Row],[Discount]])</f>
        <v>11484.18</v>
      </c>
    </row>
    <row r="29" spans="1:10" ht="16.5" hidden="1" customHeight="1" thickBot="1" x14ac:dyDescent="0.4">
      <c r="A29" s="4" t="s">
        <v>25</v>
      </c>
      <c r="B29" s="1" t="s">
        <v>14</v>
      </c>
      <c r="C29" s="1" t="s">
        <v>34</v>
      </c>
      <c r="D29" s="1" t="s">
        <v>12</v>
      </c>
      <c r="E29" s="2">
        <v>939.09</v>
      </c>
      <c r="F29" s="2">
        <v>2</v>
      </c>
      <c r="G29" s="2">
        <v>0.05</v>
      </c>
      <c r="H29" s="3">
        <v>45422</v>
      </c>
      <c r="I29" s="2">
        <v>356.85</v>
      </c>
      <c r="J29" s="5">
        <f>Sales_Data1[[#This Row],[Sales]]*Sales_Data1[[#This Row],[Quantity]]*(1-Sales_Data1[[#This Row],[Discount]])</f>
        <v>1784.271</v>
      </c>
    </row>
    <row r="30" spans="1:10" ht="16.5" hidden="1" customHeight="1" thickBot="1" x14ac:dyDescent="0.4">
      <c r="A30" s="4" t="s">
        <v>52</v>
      </c>
      <c r="B30" s="1" t="s">
        <v>53</v>
      </c>
      <c r="C30" s="1" t="s">
        <v>18</v>
      </c>
      <c r="D30" s="1" t="s">
        <v>39</v>
      </c>
      <c r="E30" s="2">
        <v>983.34</v>
      </c>
      <c r="F30" s="2">
        <v>19</v>
      </c>
      <c r="G30" s="2">
        <v>0.1</v>
      </c>
      <c r="H30" s="3">
        <v>45426</v>
      </c>
      <c r="I30" s="2">
        <v>398.25</v>
      </c>
      <c r="J30" s="5">
        <f>Sales_Data1[[#This Row],[Sales]]*Sales_Data1[[#This Row],[Quantity]]*(1-Sales_Data1[[#This Row],[Discount]])</f>
        <v>16815.114000000001</v>
      </c>
    </row>
    <row r="31" spans="1:10" ht="16.5" hidden="1" customHeight="1" thickBot="1" x14ac:dyDescent="0.4">
      <c r="A31" s="4" t="s">
        <v>52</v>
      </c>
      <c r="B31" s="1" t="s">
        <v>23</v>
      </c>
      <c r="C31" s="1" t="s">
        <v>20</v>
      </c>
      <c r="D31" s="1" t="s">
        <v>21</v>
      </c>
      <c r="E31" s="2">
        <v>801.21</v>
      </c>
      <c r="F31" s="2">
        <v>3</v>
      </c>
      <c r="G31" s="2">
        <v>0.2</v>
      </c>
      <c r="H31" s="3">
        <v>45426</v>
      </c>
      <c r="I31" s="2">
        <v>160.24</v>
      </c>
      <c r="J31" s="5">
        <f>Sales_Data1[[#This Row],[Sales]]*Sales_Data1[[#This Row],[Quantity]]*(1-Sales_Data1[[#This Row],[Discount]])</f>
        <v>1922.9040000000002</v>
      </c>
    </row>
    <row r="32" spans="1:10" ht="16.5" hidden="1" customHeight="1" thickBot="1" x14ac:dyDescent="0.4">
      <c r="A32" s="4" t="s">
        <v>54</v>
      </c>
      <c r="B32" s="1" t="s">
        <v>55</v>
      </c>
      <c r="C32" s="1" t="s">
        <v>24</v>
      </c>
      <c r="D32" s="1" t="s">
        <v>21</v>
      </c>
      <c r="E32" s="2">
        <v>1450.71</v>
      </c>
      <c r="F32" s="2">
        <v>5</v>
      </c>
      <c r="G32" s="2">
        <v>0.1</v>
      </c>
      <c r="H32" s="3">
        <v>45427</v>
      </c>
      <c r="I32" s="2">
        <v>326.41000000000003</v>
      </c>
      <c r="J32" s="5">
        <f>Sales_Data1[[#This Row],[Sales]]*Sales_Data1[[#This Row],[Quantity]]*(1-Sales_Data1[[#This Row],[Discount]])</f>
        <v>6528.1950000000006</v>
      </c>
    </row>
    <row r="33" spans="1:10" ht="16.5" hidden="1" customHeight="1" thickBot="1" x14ac:dyDescent="0.4">
      <c r="A33" s="4" t="s">
        <v>49</v>
      </c>
      <c r="B33" s="1" t="s">
        <v>56</v>
      </c>
      <c r="C33" s="1" t="s">
        <v>34</v>
      </c>
      <c r="D33" s="1" t="s">
        <v>12</v>
      </c>
      <c r="E33" s="2">
        <v>1023.21</v>
      </c>
      <c r="F33" s="2">
        <v>18</v>
      </c>
      <c r="G33" s="2">
        <v>0.05</v>
      </c>
      <c r="H33" s="3">
        <v>45428</v>
      </c>
      <c r="I33" s="2">
        <v>388.82</v>
      </c>
      <c r="J33" s="5">
        <f>Sales_Data1[[#This Row],[Sales]]*Sales_Data1[[#This Row],[Quantity]]*(1-Sales_Data1[[#This Row],[Discount]])</f>
        <v>17496.891</v>
      </c>
    </row>
    <row r="34" spans="1:10" ht="16.5" hidden="1" customHeight="1" thickBot="1" x14ac:dyDescent="0.4">
      <c r="A34" s="4" t="s">
        <v>28</v>
      </c>
      <c r="B34" s="1" t="s">
        <v>47</v>
      </c>
      <c r="C34" s="1" t="s">
        <v>11</v>
      </c>
      <c r="D34" s="1" t="s">
        <v>27</v>
      </c>
      <c r="E34" s="2">
        <v>853.72</v>
      </c>
      <c r="F34" s="2">
        <v>5</v>
      </c>
      <c r="G34" s="2">
        <v>0.15</v>
      </c>
      <c r="H34" s="3">
        <v>45428</v>
      </c>
      <c r="I34" s="2">
        <v>253.98</v>
      </c>
      <c r="J34" s="5">
        <f>Sales_Data1[[#This Row],[Sales]]*Sales_Data1[[#This Row],[Quantity]]*(1-Sales_Data1[[#This Row],[Discount]])</f>
        <v>3628.3100000000004</v>
      </c>
    </row>
    <row r="35" spans="1:10" ht="16.5" hidden="1" customHeight="1" thickBot="1" x14ac:dyDescent="0.4">
      <c r="A35" s="4" t="s">
        <v>57</v>
      </c>
      <c r="B35" s="1" t="s">
        <v>43</v>
      </c>
      <c r="C35" s="1" t="s">
        <v>20</v>
      </c>
      <c r="D35" s="1" t="s">
        <v>21</v>
      </c>
      <c r="E35" s="2">
        <v>967.89</v>
      </c>
      <c r="F35" s="2">
        <v>10</v>
      </c>
      <c r="G35" s="2">
        <v>0.1</v>
      </c>
      <c r="H35" s="3">
        <v>45429</v>
      </c>
      <c r="I35" s="2">
        <v>217.78</v>
      </c>
      <c r="J35" s="5">
        <f>Sales_Data1[[#This Row],[Sales]]*Sales_Data1[[#This Row],[Quantity]]*(1-Sales_Data1[[#This Row],[Discount]])</f>
        <v>8711.01</v>
      </c>
    </row>
    <row r="36" spans="1:10" ht="16.5" hidden="1" customHeight="1" thickBot="1" x14ac:dyDescent="0.4">
      <c r="A36" s="4" t="s">
        <v>58</v>
      </c>
      <c r="B36" s="1" t="s">
        <v>53</v>
      </c>
      <c r="C36" s="1" t="s">
        <v>24</v>
      </c>
      <c r="D36" s="1" t="s">
        <v>39</v>
      </c>
      <c r="E36" s="2">
        <v>1200.9000000000001</v>
      </c>
      <c r="F36" s="2">
        <v>14</v>
      </c>
      <c r="G36" s="2">
        <v>0.05</v>
      </c>
      <c r="H36" s="3">
        <v>45429</v>
      </c>
      <c r="I36" s="2">
        <v>513.38</v>
      </c>
      <c r="J36" s="5">
        <f>Sales_Data1[[#This Row],[Sales]]*Sales_Data1[[#This Row],[Quantity]]*(1-Sales_Data1[[#This Row],[Discount]])</f>
        <v>15971.970000000001</v>
      </c>
    </row>
    <row r="37" spans="1:10" ht="16.5" hidden="1" customHeight="1" thickBot="1" x14ac:dyDescent="0.4">
      <c r="A37" s="4" t="s">
        <v>13</v>
      </c>
      <c r="B37" s="1" t="s">
        <v>26</v>
      </c>
      <c r="C37" s="1" t="s">
        <v>11</v>
      </c>
      <c r="D37" s="1" t="s">
        <v>12</v>
      </c>
      <c r="E37" s="2">
        <v>472.38</v>
      </c>
      <c r="F37" s="2">
        <v>12</v>
      </c>
      <c r="G37" s="2">
        <v>0.2</v>
      </c>
      <c r="H37" s="3">
        <v>45429</v>
      </c>
      <c r="I37" s="2">
        <v>151.16</v>
      </c>
      <c r="J37" s="5">
        <f>Sales_Data1[[#This Row],[Sales]]*Sales_Data1[[#This Row],[Quantity]]*(1-Sales_Data1[[#This Row],[Discount]])</f>
        <v>4534.848</v>
      </c>
    </row>
    <row r="38" spans="1:10" ht="16.5" hidden="1" customHeight="1" thickBot="1" x14ac:dyDescent="0.4">
      <c r="A38" s="4" t="s">
        <v>9</v>
      </c>
      <c r="B38" s="1" t="s">
        <v>55</v>
      </c>
      <c r="C38" s="1" t="s">
        <v>18</v>
      </c>
      <c r="D38" s="1" t="s">
        <v>39</v>
      </c>
      <c r="E38" s="2">
        <v>840.92</v>
      </c>
      <c r="F38" s="2">
        <v>9</v>
      </c>
      <c r="G38" s="2">
        <v>0.05</v>
      </c>
      <c r="H38" s="3">
        <v>45429</v>
      </c>
      <c r="I38" s="2">
        <v>359.49</v>
      </c>
      <c r="J38" s="5">
        <f>Sales_Data1[[#This Row],[Sales]]*Sales_Data1[[#This Row],[Quantity]]*(1-Sales_Data1[[#This Row],[Discount]])</f>
        <v>7189.8659999999991</v>
      </c>
    </row>
    <row r="39" spans="1:10" ht="16.5" hidden="1" customHeight="1" thickBot="1" x14ac:dyDescent="0.4">
      <c r="A39" s="4" t="s">
        <v>52</v>
      </c>
      <c r="B39" s="1" t="s">
        <v>48</v>
      </c>
      <c r="C39" s="1" t="s">
        <v>34</v>
      </c>
      <c r="D39" s="1" t="s">
        <v>27</v>
      </c>
      <c r="E39" s="2">
        <v>1410.06</v>
      </c>
      <c r="F39" s="2">
        <v>11</v>
      </c>
      <c r="G39" s="2">
        <v>0.05</v>
      </c>
      <c r="H39" s="3">
        <v>45434</v>
      </c>
      <c r="I39" s="2">
        <v>468.84</v>
      </c>
      <c r="J39" s="5">
        <f>Sales_Data1[[#This Row],[Sales]]*Sales_Data1[[#This Row],[Quantity]]*(1-Sales_Data1[[#This Row],[Discount]])</f>
        <v>14735.126999999999</v>
      </c>
    </row>
    <row r="40" spans="1:10" ht="16.5" hidden="1" customHeight="1" thickBot="1" x14ac:dyDescent="0.4">
      <c r="A40" s="4" t="s">
        <v>44</v>
      </c>
      <c r="B40" s="1" t="s">
        <v>59</v>
      </c>
      <c r="C40" s="1" t="s">
        <v>34</v>
      </c>
      <c r="D40" s="1" t="s">
        <v>27</v>
      </c>
      <c r="E40" s="2">
        <v>773.09</v>
      </c>
      <c r="F40" s="2">
        <v>13</v>
      </c>
      <c r="G40" s="2">
        <v>0.15</v>
      </c>
      <c r="H40" s="3">
        <v>45434</v>
      </c>
      <c r="I40" s="2">
        <v>229.99</v>
      </c>
      <c r="J40" s="5">
        <f>Sales_Data1[[#This Row],[Sales]]*Sales_Data1[[#This Row],[Quantity]]*(1-Sales_Data1[[#This Row],[Discount]])</f>
        <v>8542.6445000000003</v>
      </c>
    </row>
    <row r="41" spans="1:10" ht="16.5" hidden="1" customHeight="1" thickBot="1" x14ac:dyDescent="0.4">
      <c r="A41" s="4" t="s">
        <v>60</v>
      </c>
      <c r="B41" s="1" t="s">
        <v>61</v>
      </c>
      <c r="C41" s="1" t="s">
        <v>18</v>
      </c>
      <c r="D41" s="1" t="s">
        <v>12</v>
      </c>
      <c r="E41" s="2">
        <v>580.42999999999995</v>
      </c>
      <c r="F41" s="2">
        <v>19</v>
      </c>
      <c r="G41" s="2">
        <v>0.15</v>
      </c>
      <c r="H41" s="3">
        <v>45435</v>
      </c>
      <c r="I41" s="2">
        <v>197.35</v>
      </c>
      <c r="J41" s="5">
        <f>Sales_Data1[[#This Row],[Sales]]*Sales_Data1[[#This Row],[Quantity]]*(1-Sales_Data1[[#This Row],[Discount]])</f>
        <v>9373.9444999999978</v>
      </c>
    </row>
    <row r="42" spans="1:10" ht="16.5" hidden="1" customHeight="1" thickBot="1" x14ac:dyDescent="0.4">
      <c r="A42" s="4" t="s">
        <v>19</v>
      </c>
      <c r="B42" s="1" t="s">
        <v>42</v>
      </c>
      <c r="C42" s="1" t="s">
        <v>20</v>
      </c>
      <c r="D42" s="1" t="s">
        <v>12</v>
      </c>
      <c r="E42" s="2">
        <v>1151.21</v>
      </c>
      <c r="F42" s="2">
        <v>15</v>
      </c>
      <c r="G42" s="2">
        <v>0.1</v>
      </c>
      <c r="H42" s="3">
        <v>45445</v>
      </c>
      <c r="I42" s="2">
        <v>414.44</v>
      </c>
      <c r="J42" s="5">
        <f>Sales_Data1[[#This Row],[Sales]]*Sales_Data1[[#This Row],[Quantity]]*(1-Sales_Data1[[#This Row],[Discount]])</f>
        <v>15541.335000000001</v>
      </c>
    </row>
    <row r="43" spans="1:10" ht="16.5" hidden="1" customHeight="1" thickBot="1" x14ac:dyDescent="0.4">
      <c r="A43" s="4" t="s">
        <v>52</v>
      </c>
      <c r="B43" s="1" t="s">
        <v>23</v>
      </c>
      <c r="C43" s="1" t="s">
        <v>34</v>
      </c>
      <c r="D43" s="1" t="s">
        <v>39</v>
      </c>
      <c r="E43" s="2">
        <v>1025.98</v>
      </c>
      <c r="F43" s="2">
        <v>5</v>
      </c>
      <c r="G43" s="2">
        <v>0.2</v>
      </c>
      <c r="H43" s="3">
        <v>45447</v>
      </c>
      <c r="I43" s="2">
        <v>369.35</v>
      </c>
      <c r="J43" s="5">
        <f>Sales_Data1[[#This Row],[Sales]]*Sales_Data1[[#This Row],[Quantity]]*(1-Sales_Data1[[#This Row],[Discount]])</f>
        <v>4103.92</v>
      </c>
    </row>
    <row r="44" spans="1:10" ht="16.5" hidden="1" customHeight="1" thickBot="1" x14ac:dyDescent="0.4">
      <c r="A44" s="4" t="s">
        <v>40</v>
      </c>
      <c r="B44" s="1" t="s">
        <v>56</v>
      </c>
      <c r="C44" s="1" t="s">
        <v>18</v>
      </c>
      <c r="D44" s="1" t="s">
        <v>39</v>
      </c>
      <c r="E44" s="2">
        <v>556.41999999999996</v>
      </c>
      <c r="F44" s="2">
        <v>11</v>
      </c>
      <c r="G44" s="2">
        <v>0.15</v>
      </c>
      <c r="H44" s="3">
        <v>45447</v>
      </c>
      <c r="I44" s="2">
        <v>212.83</v>
      </c>
      <c r="J44" s="5">
        <f>Sales_Data1[[#This Row],[Sales]]*Sales_Data1[[#This Row],[Quantity]]*(1-Sales_Data1[[#This Row],[Discount]])</f>
        <v>5202.527</v>
      </c>
    </row>
    <row r="45" spans="1:10" ht="16.5" hidden="1" customHeight="1" thickBot="1" x14ac:dyDescent="0.4">
      <c r="A45" s="4" t="s">
        <v>57</v>
      </c>
      <c r="B45" s="1" t="s">
        <v>23</v>
      </c>
      <c r="C45" s="1" t="s">
        <v>34</v>
      </c>
      <c r="D45" s="1" t="s">
        <v>12</v>
      </c>
      <c r="E45" s="2">
        <v>840.85</v>
      </c>
      <c r="F45" s="2">
        <v>19</v>
      </c>
      <c r="G45" s="2">
        <v>0.1</v>
      </c>
      <c r="H45" s="3">
        <v>45448</v>
      </c>
      <c r="I45" s="2">
        <v>302.70999999999998</v>
      </c>
      <c r="J45" s="5">
        <f>Sales_Data1[[#This Row],[Sales]]*Sales_Data1[[#This Row],[Quantity]]*(1-Sales_Data1[[#This Row],[Discount]])</f>
        <v>14378.535</v>
      </c>
    </row>
    <row r="46" spans="1:10" ht="16.5" hidden="1" customHeight="1" thickBot="1" x14ac:dyDescent="0.4">
      <c r="A46" s="4" t="s">
        <v>30</v>
      </c>
      <c r="B46" s="1" t="s">
        <v>61</v>
      </c>
      <c r="C46" s="1" t="s">
        <v>24</v>
      </c>
      <c r="D46" s="1" t="s">
        <v>27</v>
      </c>
      <c r="E46" s="2">
        <v>1227.25</v>
      </c>
      <c r="F46" s="2">
        <v>12</v>
      </c>
      <c r="G46" s="2">
        <v>0.15</v>
      </c>
      <c r="H46" s="3">
        <v>45448</v>
      </c>
      <c r="I46" s="2">
        <v>365.11</v>
      </c>
      <c r="J46" s="5">
        <f>Sales_Data1[[#This Row],[Sales]]*Sales_Data1[[#This Row],[Quantity]]*(1-Sales_Data1[[#This Row],[Discount]])</f>
        <v>12517.949999999999</v>
      </c>
    </row>
    <row r="47" spans="1:10" ht="16.5" hidden="1" customHeight="1" thickBot="1" x14ac:dyDescent="0.4">
      <c r="A47" s="4" t="s">
        <v>16</v>
      </c>
      <c r="B47" s="1" t="s">
        <v>62</v>
      </c>
      <c r="C47" s="1" t="s">
        <v>34</v>
      </c>
      <c r="D47" s="1" t="s">
        <v>21</v>
      </c>
      <c r="E47" s="2">
        <v>856.7</v>
      </c>
      <c r="F47" s="2">
        <v>2</v>
      </c>
      <c r="G47" s="2">
        <v>0</v>
      </c>
      <c r="H47" s="3">
        <v>45449</v>
      </c>
      <c r="I47" s="2">
        <v>214.18</v>
      </c>
      <c r="J47" s="5">
        <f>Sales_Data1[[#This Row],[Sales]]*Sales_Data1[[#This Row],[Quantity]]*(1-Sales_Data1[[#This Row],[Discount]])</f>
        <v>1713.4</v>
      </c>
    </row>
    <row r="48" spans="1:10" ht="16.5" hidden="1" customHeight="1" thickBot="1" x14ac:dyDescent="0.4">
      <c r="A48" s="4" t="s">
        <v>54</v>
      </c>
      <c r="B48" s="1" t="s">
        <v>56</v>
      </c>
      <c r="C48" s="1" t="s">
        <v>34</v>
      </c>
      <c r="D48" s="1" t="s">
        <v>39</v>
      </c>
      <c r="E48" s="2">
        <v>1225.42</v>
      </c>
      <c r="F48" s="2">
        <v>8</v>
      </c>
      <c r="G48" s="2">
        <v>0.15</v>
      </c>
      <c r="H48" s="3">
        <v>45449</v>
      </c>
      <c r="I48" s="2">
        <v>468.72</v>
      </c>
      <c r="J48" s="5">
        <f>Sales_Data1[[#This Row],[Sales]]*Sales_Data1[[#This Row],[Quantity]]*(1-Sales_Data1[[#This Row],[Discount]])</f>
        <v>8332.8559999999998</v>
      </c>
    </row>
    <row r="49" spans="1:10" ht="16.5" hidden="1" customHeight="1" thickBot="1" x14ac:dyDescent="0.4">
      <c r="A49" s="4" t="s">
        <v>63</v>
      </c>
      <c r="B49" s="1" t="s">
        <v>31</v>
      </c>
      <c r="C49" s="1" t="s">
        <v>24</v>
      </c>
      <c r="D49" s="1" t="s">
        <v>39</v>
      </c>
      <c r="E49" s="2">
        <v>1001.57</v>
      </c>
      <c r="F49" s="2">
        <v>12</v>
      </c>
      <c r="G49" s="2">
        <v>0</v>
      </c>
      <c r="H49" s="3">
        <v>45450</v>
      </c>
      <c r="I49" s="2">
        <v>450.71</v>
      </c>
      <c r="J49" s="5">
        <f>Sales_Data1[[#This Row],[Sales]]*Sales_Data1[[#This Row],[Quantity]]*(1-Sales_Data1[[#This Row],[Discount]])</f>
        <v>12018.84</v>
      </c>
    </row>
    <row r="50" spans="1:10" ht="16.5" hidden="1" customHeight="1" thickBot="1" x14ac:dyDescent="0.4">
      <c r="A50" s="4" t="s">
        <v>57</v>
      </c>
      <c r="B50" s="1" t="s">
        <v>26</v>
      </c>
      <c r="C50" s="1" t="s">
        <v>18</v>
      </c>
      <c r="D50" s="1" t="s">
        <v>27</v>
      </c>
      <c r="E50" s="2">
        <v>1186.8499999999999</v>
      </c>
      <c r="F50" s="2">
        <v>19</v>
      </c>
      <c r="G50" s="2">
        <v>0.2</v>
      </c>
      <c r="H50" s="3">
        <v>45451</v>
      </c>
      <c r="I50" s="2">
        <v>332.32</v>
      </c>
      <c r="J50" s="5">
        <f>Sales_Data1[[#This Row],[Sales]]*Sales_Data1[[#This Row],[Quantity]]*(1-Sales_Data1[[#This Row],[Discount]])</f>
        <v>18040.12</v>
      </c>
    </row>
    <row r="51" spans="1:10" ht="16.5" hidden="1" customHeight="1" thickBot="1" x14ac:dyDescent="0.4">
      <c r="A51" s="4" t="s">
        <v>44</v>
      </c>
      <c r="B51" s="1" t="s">
        <v>51</v>
      </c>
      <c r="C51" s="1" t="s">
        <v>20</v>
      </c>
      <c r="D51" s="1" t="s">
        <v>21</v>
      </c>
      <c r="E51" s="2">
        <v>775.45</v>
      </c>
      <c r="F51" s="2">
        <v>6</v>
      </c>
      <c r="G51" s="2">
        <v>0.1</v>
      </c>
      <c r="H51" s="3">
        <v>45457</v>
      </c>
      <c r="I51" s="2">
        <v>174.48</v>
      </c>
      <c r="J51" s="5">
        <f>Sales_Data1[[#This Row],[Sales]]*Sales_Data1[[#This Row],[Quantity]]*(1-Sales_Data1[[#This Row],[Discount]])</f>
        <v>4187.4300000000012</v>
      </c>
    </row>
    <row r="52" spans="1:10" ht="16.5" hidden="1" customHeight="1" thickBot="1" x14ac:dyDescent="0.4">
      <c r="A52" s="4" t="s">
        <v>25</v>
      </c>
      <c r="B52" s="1" t="s">
        <v>33</v>
      </c>
      <c r="C52" s="1" t="s">
        <v>20</v>
      </c>
      <c r="D52" s="1" t="s">
        <v>21</v>
      </c>
      <c r="E52" s="2">
        <v>1021.47</v>
      </c>
      <c r="F52" s="2">
        <v>6</v>
      </c>
      <c r="G52" s="2">
        <v>0.05</v>
      </c>
      <c r="H52" s="3">
        <v>45461</v>
      </c>
      <c r="I52" s="2">
        <v>242.6</v>
      </c>
      <c r="J52" s="5">
        <f>Sales_Data1[[#This Row],[Sales]]*Sales_Data1[[#This Row],[Quantity]]*(1-Sales_Data1[[#This Row],[Discount]])</f>
        <v>5822.3789999999999</v>
      </c>
    </row>
    <row r="53" spans="1:10" ht="16.5" hidden="1" customHeight="1" thickBot="1" x14ac:dyDescent="0.4">
      <c r="A53" s="4" t="s">
        <v>58</v>
      </c>
      <c r="B53" s="1" t="s">
        <v>23</v>
      </c>
      <c r="C53" s="1" t="s">
        <v>20</v>
      </c>
      <c r="D53" s="1" t="s">
        <v>15</v>
      </c>
      <c r="E53" s="2">
        <v>1226.6199999999999</v>
      </c>
      <c r="F53" s="2">
        <v>7</v>
      </c>
      <c r="G53" s="2">
        <v>0.1</v>
      </c>
      <c r="H53" s="3">
        <v>45463</v>
      </c>
      <c r="I53" s="2">
        <v>551.98</v>
      </c>
      <c r="J53" s="5">
        <f>Sales_Data1[[#This Row],[Sales]]*Sales_Data1[[#This Row],[Quantity]]*(1-Sales_Data1[[#This Row],[Discount]])</f>
        <v>7727.7060000000001</v>
      </c>
    </row>
    <row r="54" spans="1:10" ht="16.5" hidden="1" customHeight="1" thickBot="1" x14ac:dyDescent="0.4">
      <c r="A54" s="4" t="s">
        <v>22</v>
      </c>
      <c r="B54" s="1" t="s">
        <v>64</v>
      </c>
      <c r="C54" s="1" t="s">
        <v>20</v>
      </c>
      <c r="D54" s="1" t="s">
        <v>27</v>
      </c>
      <c r="E54" s="2">
        <v>1086.93</v>
      </c>
      <c r="F54" s="2">
        <v>2</v>
      </c>
      <c r="G54" s="2">
        <v>0</v>
      </c>
      <c r="H54" s="3">
        <v>45464</v>
      </c>
      <c r="I54" s="2">
        <v>380.43</v>
      </c>
      <c r="J54" s="5">
        <f>Sales_Data1[[#This Row],[Sales]]*Sales_Data1[[#This Row],[Quantity]]*(1-Sales_Data1[[#This Row],[Discount]])</f>
        <v>2173.86</v>
      </c>
    </row>
    <row r="55" spans="1:10" ht="16.5" hidden="1" customHeight="1" thickBot="1" x14ac:dyDescent="0.4">
      <c r="A55" s="4" t="s">
        <v>65</v>
      </c>
      <c r="B55" s="1" t="s">
        <v>48</v>
      </c>
      <c r="C55" s="1" t="s">
        <v>11</v>
      </c>
      <c r="D55" s="1" t="s">
        <v>12</v>
      </c>
      <c r="E55" s="2">
        <v>942.9</v>
      </c>
      <c r="F55" s="2">
        <v>18</v>
      </c>
      <c r="G55" s="2">
        <v>0.1</v>
      </c>
      <c r="H55" s="3">
        <v>45466</v>
      </c>
      <c r="I55" s="2">
        <v>339.44</v>
      </c>
      <c r="J55" s="5">
        <f>Sales_Data1[[#This Row],[Sales]]*Sales_Data1[[#This Row],[Quantity]]*(1-Sales_Data1[[#This Row],[Discount]])</f>
        <v>15274.980000000001</v>
      </c>
    </row>
    <row r="56" spans="1:10" ht="16.5" hidden="1" customHeight="1" thickBot="1" x14ac:dyDescent="0.4">
      <c r="A56" s="4" t="s">
        <v>32</v>
      </c>
      <c r="B56" s="1" t="s">
        <v>38</v>
      </c>
      <c r="C56" s="1" t="s">
        <v>24</v>
      </c>
      <c r="D56" s="1" t="s">
        <v>21</v>
      </c>
      <c r="E56" s="2">
        <v>818.8</v>
      </c>
      <c r="F56" s="2">
        <v>15</v>
      </c>
      <c r="G56" s="2">
        <v>0.15</v>
      </c>
      <c r="H56" s="3">
        <v>45468</v>
      </c>
      <c r="I56" s="2">
        <v>173.99</v>
      </c>
      <c r="J56" s="5">
        <f>Sales_Data1[[#This Row],[Sales]]*Sales_Data1[[#This Row],[Quantity]]*(1-Sales_Data1[[#This Row],[Discount]])</f>
        <v>10439.699999999999</v>
      </c>
    </row>
    <row r="57" spans="1:10" ht="16.5" hidden="1" customHeight="1" thickBot="1" x14ac:dyDescent="0.4">
      <c r="A57" s="4" t="s">
        <v>19</v>
      </c>
      <c r="B57" s="1" t="s">
        <v>14</v>
      </c>
      <c r="C57" s="1" t="s">
        <v>20</v>
      </c>
      <c r="D57" s="1" t="s">
        <v>27</v>
      </c>
      <c r="E57" s="2">
        <v>919.04</v>
      </c>
      <c r="F57" s="2">
        <v>10</v>
      </c>
      <c r="G57" s="2">
        <v>0.2</v>
      </c>
      <c r="H57" s="3">
        <v>45468</v>
      </c>
      <c r="I57" s="2">
        <v>257.33</v>
      </c>
      <c r="J57" s="5">
        <f>Sales_Data1[[#This Row],[Sales]]*Sales_Data1[[#This Row],[Quantity]]*(1-Sales_Data1[[#This Row],[Discount]])</f>
        <v>7352.32</v>
      </c>
    </row>
    <row r="58" spans="1:10" ht="16.5" hidden="1" customHeight="1" thickBot="1" x14ac:dyDescent="0.4">
      <c r="A58" s="4" t="s">
        <v>22</v>
      </c>
      <c r="B58" s="1" t="s">
        <v>66</v>
      </c>
      <c r="C58" s="1" t="s">
        <v>34</v>
      </c>
      <c r="D58" s="1" t="s">
        <v>12</v>
      </c>
      <c r="E58" s="2">
        <v>973.26</v>
      </c>
      <c r="F58" s="2">
        <v>11</v>
      </c>
      <c r="G58" s="2">
        <v>0</v>
      </c>
      <c r="H58" s="3">
        <v>45470</v>
      </c>
      <c r="I58" s="2">
        <v>389.3</v>
      </c>
      <c r="J58" s="5">
        <f>Sales_Data1[[#This Row],[Sales]]*Sales_Data1[[#This Row],[Quantity]]*(1-Sales_Data1[[#This Row],[Discount]])</f>
        <v>10705.86</v>
      </c>
    </row>
    <row r="59" spans="1:10" ht="16.5" hidden="1" customHeight="1" thickBot="1" x14ac:dyDescent="0.4">
      <c r="A59" s="4" t="s">
        <v>41</v>
      </c>
      <c r="B59" s="1" t="s">
        <v>64</v>
      </c>
      <c r="C59" s="1" t="s">
        <v>24</v>
      </c>
      <c r="D59" s="1" t="s">
        <v>21</v>
      </c>
      <c r="E59" s="2">
        <v>741.61</v>
      </c>
      <c r="F59" s="2">
        <v>1</v>
      </c>
      <c r="G59" s="2">
        <v>0.2</v>
      </c>
      <c r="H59" s="3">
        <v>45471</v>
      </c>
      <c r="I59" s="2">
        <v>148.32</v>
      </c>
      <c r="J59" s="5">
        <f>Sales_Data1[[#This Row],[Sales]]*Sales_Data1[[#This Row],[Quantity]]*(1-Sales_Data1[[#This Row],[Discount]])</f>
        <v>593.28800000000001</v>
      </c>
    </row>
    <row r="60" spans="1:10" ht="16.5" hidden="1" customHeight="1" thickBot="1" x14ac:dyDescent="0.4">
      <c r="A60" s="4" t="s">
        <v>67</v>
      </c>
      <c r="B60" s="1" t="s">
        <v>38</v>
      </c>
      <c r="C60" s="1" t="s">
        <v>24</v>
      </c>
      <c r="D60" s="1" t="s">
        <v>12</v>
      </c>
      <c r="E60" s="2">
        <v>1248.82</v>
      </c>
      <c r="F60" s="2">
        <v>2</v>
      </c>
      <c r="G60" s="2">
        <v>0.1</v>
      </c>
      <c r="H60" s="3">
        <v>45473</v>
      </c>
      <c r="I60" s="2">
        <v>449.58</v>
      </c>
      <c r="J60" s="5">
        <f>Sales_Data1[[#This Row],[Sales]]*Sales_Data1[[#This Row],[Quantity]]*(1-Sales_Data1[[#This Row],[Discount]])</f>
        <v>2247.8759999999997</v>
      </c>
    </row>
    <row r="61" spans="1:10" ht="16.5" customHeight="1" thickBot="1" x14ac:dyDescent="0.4">
      <c r="A61" s="4" t="s">
        <v>13</v>
      </c>
      <c r="B61" s="1" t="s">
        <v>59</v>
      </c>
      <c r="C61" s="1" t="s">
        <v>11</v>
      </c>
      <c r="D61" s="1" t="s">
        <v>15</v>
      </c>
      <c r="E61" s="2">
        <v>1360.36</v>
      </c>
      <c r="F61" s="2">
        <v>17</v>
      </c>
      <c r="G61" s="2">
        <v>0</v>
      </c>
      <c r="H61" s="3">
        <v>45473</v>
      </c>
      <c r="I61" s="2">
        <v>680.18</v>
      </c>
      <c r="J61" s="5">
        <f>Sales_Data1[[#This Row],[Sales]]*Sales_Data1[[#This Row],[Quantity]]*(1-Sales_Data1[[#This Row],[Discount]])</f>
        <v>23126.12</v>
      </c>
    </row>
    <row r="62" spans="1:10" ht="16.5" hidden="1" customHeight="1" thickBot="1" x14ac:dyDescent="0.4">
      <c r="A62" s="4" t="s">
        <v>57</v>
      </c>
      <c r="B62" s="1" t="s">
        <v>31</v>
      </c>
      <c r="C62" s="1" t="s">
        <v>18</v>
      </c>
      <c r="D62" s="1" t="s">
        <v>12</v>
      </c>
      <c r="E62" s="2">
        <v>1383.3</v>
      </c>
      <c r="F62" s="2">
        <v>8</v>
      </c>
      <c r="G62" s="2">
        <v>0.1</v>
      </c>
      <c r="H62" s="3">
        <v>45478</v>
      </c>
      <c r="I62" s="2">
        <v>497.99</v>
      </c>
      <c r="J62" s="5">
        <f>Sales_Data1[[#This Row],[Sales]]*Sales_Data1[[#This Row],[Quantity]]*(1-Sales_Data1[[#This Row],[Discount]])</f>
        <v>9959.76</v>
      </c>
    </row>
    <row r="63" spans="1:10" ht="16.5" hidden="1" customHeight="1" thickBot="1" x14ac:dyDescent="0.4">
      <c r="A63" s="4" t="s">
        <v>35</v>
      </c>
      <c r="B63" s="1" t="s">
        <v>55</v>
      </c>
      <c r="C63" s="1" t="s">
        <v>34</v>
      </c>
      <c r="D63" s="1" t="s">
        <v>39</v>
      </c>
      <c r="E63" s="2">
        <v>488.99</v>
      </c>
      <c r="F63" s="2">
        <v>9</v>
      </c>
      <c r="G63" s="2">
        <v>0</v>
      </c>
      <c r="H63" s="3">
        <v>45479</v>
      </c>
      <c r="I63" s="2">
        <v>220.05</v>
      </c>
      <c r="J63" s="5">
        <f>Sales_Data1[[#This Row],[Sales]]*Sales_Data1[[#This Row],[Quantity]]*(1-Sales_Data1[[#This Row],[Discount]])</f>
        <v>4400.91</v>
      </c>
    </row>
    <row r="64" spans="1:10" ht="16.5" hidden="1" customHeight="1" thickBot="1" x14ac:dyDescent="0.4">
      <c r="A64" s="4" t="s">
        <v>30</v>
      </c>
      <c r="B64" s="1" t="s">
        <v>31</v>
      </c>
      <c r="C64" s="1" t="s">
        <v>18</v>
      </c>
      <c r="D64" s="1" t="s">
        <v>27</v>
      </c>
      <c r="E64" s="2">
        <v>933.71</v>
      </c>
      <c r="F64" s="2">
        <v>17</v>
      </c>
      <c r="G64" s="2">
        <v>0.1</v>
      </c>
      <c r="H64" s="3">
        <v>45481</v>
      </c>
      <c r="I64" s="2">
        <v>294.12</v>
      </c>
      <c r="J64" s="5">
        <f>Sales_Data1[[#This Row],[Sales]]*Sales_Data1[[#This Row],[Quantity]]*(1-Sales_Data1[[#This Row],[Discount]])</f>
        <v>14285.763000000001</v>
      </c>
    </row>
    <row r="65" spans="1:10" ht="16.5" hidden="1" customHeight="1" thickBot="1" x14ac:dyDescent="0.4">
      <c r="A65" s="4" t="s">
        <v>67</v>
      </c>
      <c r="B65" s="1" t="s">
        <v>10</v>
      </c>
      <c r="C65" s="1" t="s">
        <v>11</v>
      </c>
      <c r="D65" s="1" t="s">
        <v>21</v>
      </c>
      <c r="E65" s="2">
        <v>1005.53</v>
      </c>
      <c r="F65" s="2">
        <v>17</v>
      </c>
      <c r="G65" s="2">
        <v>0.2</v>
      </c>
      <c r="H65" s="3">
        <v>45481</v>
      </c>
      <c r="I65" s="2">
        <v>201.11</v>
      </c>
      <c r="J65" s="5">
        <f>Sales_Data1[[#This Row],[Sales]]*Sales_Data1[[#This Row],[Quantity]]*(1-Sales_Data1[[#This Row],[Discount]])</f>
        <v>13675.207999999999</v>
      </c>
    </row>
    <row r="66" spans="1:10" ht="16.5" hidden="1" customHeight="1" thickBot="1" x14ac:dyDescent="0.4">
      <c r="A66" s="4" t="s">
        <v>41</v>
      </c>
      <c r="B66" s="1" t="s">
        <v>61</v>
      </c>
      <c r="C66" s="1" t="s">
        <v>20</v>
      </c>
      <c r="D66" s="1" t="s">
        <v>21</v>
      </c>
      <c r="E66" s="2">
        <v>1100.0999999999999</v>
      </c>
      <c r="F66" s="2">
        <v>5</v>
      </c>
      <c r="G66" s="2">
        <v>0.05</v>
      </c>
      <c r="H66" s="3">
        <v>45482</v>
      </c>
      <c r="I66" s="2">
        <v>261.27</v>
      </c>
      <c r="J66" s="5">
        <f>Sales_Data1[[#This Row],[Sales]]*Sales_Data1[[#This Row],[Quantity]]*(1-Sales_Data1[[#This Row],[Discount]])</f>
        <v>5225.4749999999995</v>
      </c>
    </row>
    <row r="67" spans="1:10" ht="16.5" hidden="1" customHeight="1" thickBot="1" x14ac:dyDescent="0.4">
      <c r="A67" s="4" t="s">
        <v>67</v>
      </c>
      <c r="B67" s="1" t="s">
        <v>23</v>
      </c>
      <c r="C67" s="1" t="s">
        <v>24</v>
      </c>
      <c r="D67" s="1" t="s">
        <v>27</v>
      </c>
      <c r="E67" s="2">
        <v>1034.7</v>
      </c>
      <c r="F67" s="2">
        <v>15</v>
      </c>
      <c r="G67" s="2">
        <v>0.15</v>
      </c>
      <c r="H67" s="3">
        <v>45487</v>
      </c>
      <c r="I67" s="2">
        <v>307.82</v>
      </c>
      <c r="J67" s="5">
        <f>Sales_Data1[[#This Row],[Sales]]*Sales_Data1[[#This Row],[Quantity]]*(1-Sales_Data1[[#This Row],[Discount]])</f>
        <v>13192.424999999999</v>
      </c>
    </row>
    <row r="68" spans="1:10" ht="16.5" hidden="1" customHeight="1" thickBot="1" x14ac:dyDescent="0.4">
      <c r="A68" s="4" t="s">
        <v>65</v>
      </c>
      <c r="B68" s="1" t="s">
        <v>31</v>
      </c>
      <c r="C68" s="1" t="s">
        <v>20</v>
      </c>
      <c r="D68" s="1" t="s">
        <v>12</v>
      </c>
      <c r="E68" s="2">
        <v>876.44</v>
      </c>
      <c r="F68" s="2">
        <v>12</v>
      </c>
      <c r="G68" s="2">
        <v>0.05</v>
      </c>
      <c r="H68" s="3">
        <v>45488</v>
      </c>
      <c r="I68" s="2">
        <v>333.05</v>
      </c>
      <c r="J68" s="5">
        <f>Sales_Data1[[#This Row],[Sales]]*Sales_Data1[[#This Row],[Quantity]]*(1-Sales_Data1[[#This Row],[Discount]])</f>
        <v>9991.4159999999993</v>
      </c>
    </row>
    <row r="69" spans="1:10" ht="16.5" hidden="1" customHeight="1" thickBot="1" x14ac:dyDescent="0.4">
      <c r="A69" s="4" t="s">
        <v>68</v>
      </c>
      <c r="B69" s="1" t="s">
        <v>55</v>
      </c>
      <c r="C69" s="1" t="s">
        <v>11</v>
      </c>
      <c r="D69" s="1" t="s">
        <v>27</v>
      </c>
      <c r="E69" s="2">
        <v>1371.34</v>
      </c>
      <c r="F69" s="2">
        <v>5</v>
      </c>
      <c r="G69" s="2">
        <v>0.05</v>
      </c>
      <c r="H69" s="3">
        <v>45488</v>
      </c>
      <c r="I69" s="2">
        <v>455.97</v>
      </c>
      <c r="J69" s="5">
        <f>Sales_Data1[[#This Row],[Sales]]*Sales_Data1[[#This Row],[Quantity]]*(1-Sales_Data1[[#This Row],[Discount]])</f>
        <v>6513.8649999999998</v>
      </c>
    </row>
    <row r="70" spans="1:10" ht="16.5" hidden="1" customHeight="1" thickBot="1" x14ac:dyDescent="0.4">
      <c r="A70" s="4" t="s">
        <v>57</v>
      </c>
      <c r="B70" s="1" t="s">
        <v>47</v>
      </c>
      <c r="C70" s="1" t="s">
        <v>24</v>
      </c>
      <c r="D70" s="1" t="s">
        <v>21</v>
      </c>
      <c r="E70" s="2">
        <v>1020.26</v>
      </c>
      <c r="F70" s="2">
        <v>11</v>
      </c>
      <c r="G70" s="2">
        <v>0.05</v>
      </c>
      <c r="H70" s="3">
        <v>45494</v>
      </c>
      <c r="I70" s="2">
        <v>242.31</v>
      </c>
      <c r="J70" s="5">
        <f>Sales_Data1[[#This Row],[Sales]]*Sales_Data1[[#This Row],[Quantity]]*(1-Sales_Data1[[#This Row],[Discount]])</f>
        <v>10661.717000000001</v>
      </c>
    </row>
    <row r="71" spans="1:10" ht="16.5" hidden="1" customHeight="1" thickBot="1" x14ac:dyDescent="0.4">
      <c r="A71" s="4" t="s">
        <v>44</v>
      </c>
      <c r="B71" s="1" t="s">
        <v>10</v>
      </c>
      <c r="C71" s="1" t="s">
        <v>34</v>
      </c>
      <c r="D71" s="1" t="s">
        <v>39</v>
      </c>
      <c r="E71" s="2">
        <v>804.81</v>
      </c>
      <c r="F71" s="2">
        <v>1</v>
      </c>
      <c r="G71" s="2">
        <v>0.05</v>
      </c>
      <c r="H71" s="3">
        <v>45502</v>
      </c>
      <c r="I71" s="2">
        <v>344.06</v>
      </c>
      <c r="J71" s="5">
        <f>Sales_Data1[[#This Row],[Sales]]*Sales_Data1[[#This Row],[Quantity]]*(1-Sales_Data1[[#This Row],[Discount]])</f>
        <v>764.56949999999995</v>
      </c>
    </row>
    <row r="72" spans="1:10" ht="16.5" hidden="1" customHeight="1" thickBot="1" x14ac:dyDescent="0.4">
      <c r="A72" s="4" t="s">
        <v>22</v>
      </c>
      <c r="B72" s="1" t="s">
        <v>55</v>
      </c>
      <c r="C72" s="1" t="s">
        <v>34</v>
      </c>
      <c r="D72" s="1" t="s">
        <v>21</v>
      </c>
      <c r="E72" s="2">
        <v>608.66</v>
      </c>
      <c r="F72" s="2">
        <v>1</v>
      </c>
      <c r="G72" s="2">
        <v>0.05</v>
      </c>
      <c r="H72" s="3">
        <v>45503</v>
      </c>
      <c r="I72" s="2">
        <v>144.56</v>
      </c>
      <c r="J72" s="5">
        <f>Sales_Data1[[#This Row],[Sales]]*Sales_Data1[[#This Row],[Quantity]]*(1-Sales_Data1[[#This Row],[Discount]])</f>
        <v>578.22699999999998</v>
      </c>
    </row>
    <row r="73" spans="1:10" ht="16.5" hidden="1" customHeight="1" thickBot="1" x14ac:dyDescent="0.4">
      <c r="A73" s="4" t="s">
        <v>68</v>
      </c>
      <c r="B73" s="1" t="s">
        <v>69</v>
      </c>
      <c r="C73" s="1" t="s">
        <v>20</v>
      </c>
      <c r="D73" s="1" t="s">
        <v>39</v>
      </c>
      <c r="E73" s="2">
        <v>981.2</v>
      </c>
      <c r="F73" s="2">
        <v>19</v>
      </c>
      <c r="G73" s="2">
        <v>0</v>
      </c>
      <c r="H73" s="3">
        <v>45504</v>
      </c>
      <c r="I73" s="2">
        <v>441.54</v>
      </c>
      <c r="J73" s="5">
        <f>Sales_Data1[[#This Row],[Sales]]*Sales_Data1[[#This Row],[Quantity]]*(1-Sales_Data1[[#This Row],[Discount]])</f>
        <v>18642.8</v>
      </c>
    </row>
    <row r="74" spans="1:10" ht="16.5" hidden="1" customHeight="1" thickBot="1" x14ac:dyDescent="0.4">
      <c r="A74" s="4" t="s">
        <v>70</v>
      </c>
      <c r="B74" s="1" t="s">
        <v>55</v>
      </c>
      <c r="C74" s="1" t="s">
        <v>18</v>
      </c>
      <c r="D74" s="1" t="s">
        <v>21</v>
      </c>
      <c r="E74" s="2">
        <v>539.77</v>
      </c>
      <c r="F74" s="2">
        <v>10</v>
      </c>
      <c r="G74" s="2">
        <v>0.15</v>
      </c>
      <c r="H74" s="3">
        <v>45509</v>
      </c>
      <c r="I74" s="2">
        <v>114.7</v>
      </c>
      <c r="J74" s="5">
        <f>Sales_Data1[[#This Row],[Sales]]*Sales_Data1[[#This Row],[Quantity]]*(1-Sales_Data1[[#This Row],[Discount]])</f>
        <v>4588.0450000000001</v>
      </c>
    </row>
    <row r="75" spans="1:10" ht="16.5" hidden="1" customHeight="1" thickBot="1" x14ac:dyDescent="0.4">
      <c r="A75" s="4" t="s">
        <v>13</v>
      </c>
      <c r="B75" s="1" t="s">
        <v>71</v>
      </c>
      <c r="C75" s="1" t="s">
        <v>20</v>
      </c>
      <c r="D75" s="1" t="s">
        <v>12</v>
      </c>
      <c r="E75" s="2">
        <v>804.45</v>
      </c>
      <c r="F75" s="2">
        <v>5</v>
      </c>
      <c r="G75" s="2">
        <v>0.2</v>
      </c>
      <c r="H75" s="3">
        <v>45509</v>
      </c>
      <c r="I75" s="2">
        <v>257.42</v>
      </c>
      <c r="J75" s="5">
        <f>Sales_Data1[[#This Row],[Sales]]*Sales_Data1[[#This Row],[Quantity]]*(1-Sales_Data1[[#This Row],[Discount]])</f>
        <v>3217.8</v>
      </c>
    </row>
    <row r="76" spans="1:10" ht="16.5" hidden="1" customHeight="1" thickBot="1" x14ac:dyDescent="0.4">
      <c r="A76" s="4" t="s">
        <v>70</v>
      </c>
      <c r="B76" s="1" t="s">
        <v>38</v>
      </c>
      <c r="C76" s="1" t="s">
        <v>11</v>
      </c>
      <c r="D76" s="1" t="s">
        <v>21</v>
      </c>
      <c r="E76" s="2">
        <v>1526.6</v>
      </c>
      <c r="F76" s="2">
        <v>13</v>
      </c>
      <c r="G76" s="2">
        <v>0.2</v>
      </c>
      <c r="H76" s="3">
        <v>45512</v>
      </c>
      <c r="I76" s="2">
        <v>305.32</v>
      </c>
      <c r="J76" s="5">
        <f>Sales_Data1[[#This Row],[Sales]]*Sales_Data1[[#This Row],[Quantity]]*(1-Sales_Data1[[#This Row],[Discount]])</f>
        <v>15876.64</v>
      </c>
    </row>
    <row r="77" spans="1:10" ht="16.5" hidden="1" customHeight="1" thickBot="1" x14ac:dyDescent="0.4">
      <c r="A77" s="4" t="s">
        <v>13</v>
      </c>
      <c r="B77" s="1" t="s">
        <v>29</v>
      </c>
      <c r="C77" s="1" t="s">
        <v>11</v>
      </c>
      <c r="D77" s="1" t="s">
        <v>21</v>
      </c>
      <c r="E77" s="2">
        <v>1215.26</v>
      </c>
      <c r="F77" s="2">
        <v>5</v>
      </c>
      <c r="G77" s="2">
        <v>0.15</v>
      </c>
      <c r="H77" s="3">
        <v>45513</v>
      </c>
      <c r="I77" s="2">
        <v>258.24</v>
      </c>
      <c r="J77" s="5">
        <f>Sales_Data1[[#This Row],[Sales]]*Sales_Data1[[#This Row],[Quantity]]*(1-Sales_Data1[[#This Row],[Discount]])</f>
        <v>5164.8550000000005</v>
      </c>
    </row>
    <row r="78" spans="1:10" ht="16.5" hidden="1" customHeight="1" thickBot="1" x14ac:dyDescent="0.4">
      <c r="A78" s="4" t="s">
        <v>19</v>
      </c>
      <c r="B78" s="1" t="s">
        <v>53</v>
      </c>
      <c r="C78" s="1" t="s">
        <v>34</v>
      </c>
      <c r="D78" s="1" t="s">
        <v>27</v>
      </c>
      <c r="E78" s="2">
        <v>1261.3399999999999</v>
      </c>
      <c r="F78" s="2">
        <v>3</v>
      </c>
      <c r="G78" s="2">
        <v>0</v>
      </c>
      <c r="H78" s="3">
        <v>45519</v>
      </c>
      <c r="I78" s="2">
        <v>441.47</v>
      </c>
      <c r="J78" s="5">
        <f>Sales_Data1[[#This Row],[Sales]]*Sales_Data1[[#This Row],[Quantity]]*(1-Sales_Data1[[#This Row],[Discount]])</f>
        <v>3784.0199999999995</v>
      </c>
    </row>
    <row r="79" spans="1:10" ht="16.5" hidden="1" customHeight="1" thickBot="1" x14ac:dyDescent="0.4">
      <c r="A79" s="4" t="s">
        <v>72</v>
      </c>
      <c r="B79" s="1" t="s">
        <v>45</v>
      </c>
      <c r="C79" s="1" t="s">
        <v>24</v>
      </c>
      <c r="D79" s="1" t="s">
        <v>27</v>
      </c>
      <c r="E79" s="2">
        <v>518.07000000000005</v>
      </c>
      <c r="F79" s="2">
        <v>7</v>
      </c>
      <c r="G79" s="2">
        <v>0.05</v>
      </c>
      <c r="H79" s="3">
        <v>45522</v>
      </c>
      <c r="I79" s="2">
        <v>172.26</v>
      </c>
      <c r="J79" s="5">
        <f>Sales_Data1[[#This Row],[Sales]]*Sales_Data1[[#This Row],[Quantity]]*(1-Sales_Data1[[#This Row],[Discount]])</f>
        <v>3445.1655000000001</v>
      </c>
    </row>
    <row r="80" spans="1:10" ht="16.5" hidden="1" customHeight="1" thickBot="1" x14ac:dyDescent="0.4">
      <c r="A80" s="4" t="s">
        <v>30</v>
      </c>
      <c r="B80" s="1" t="s">
        <v>29</v>
      </c>
      <c r="C80" s="1" t="s">
        <v>11</v>
      </c>
      <c r="D80" s="1" t="s">
        <v>39</v>
      </c>
      <c r="E80" s="2">
        <v>1111.3399999999999</v>
      </c>
      <c r="F80" s="2">
        <v>1</v>
      </c>
      <c r="G80" s="2">
        <v>0</v>
      </c>
      <c r="H80" s="3">
        <v>45523</v>
      </c>
      <c r="I80" s="2">
        <v>500.1</v>
      </c>
      <c r="J80" s="5">
        <f>Sales_Data1[[#This Row],[Sales]]*Sales_Data1[[#This Row],[Quantity]]*(1-Sales_Data1[[#This Row],[Discount]])</f>
        <v>1111.3399999999999</v>
      </c>
    </row>
    <row r="81" spans="1:10" ht="16.5" customHeight="1" thickBot="1" x14ac:dyDescent="0.4">
      <c r="A81" s="4" t="s">
        <v>22</v>
      </c>
      <c r="B81" s="1" t="s">
        <v>31</v>
      </c>
      <c r="C81" s="1" t="s">
        <v>18</v>
      </c>
      <c r="D81" s="1" t="s">
        <v>15</v>
      </c>
      <c r="E81" s="2">
        <v>1291.47</v>
      </c>
      <c r="F81" s="2">
        <v>18</v>
      </c>
      <c r="G81" s="2">
        <v>0.1</v>
      </c>
      <c r="H81" s="3">
        <v>45526</v>
      </c>
      <c r="I81" s="2">
        <v>581.16</v>
      </c>
      <c r="J81" s="5">
        <f>Sales_Data1[[#This Row],[Sales]]*Sales_Data1[[#This Row],[Quantity]]*(1-Sales_Data1[[#This Row],[Discount]])</f>
        <v>20921.813999999998</v>
      </c>
    </row>
    <row r="82" spans="1:10" ht="16.5" hidden="1" customHeight="1" thickBot="1" x14ac:dyDescent="0.4">
      <c r="A82" s="4" t="s">
        <v>25</v>
      </c>
      <c r="B82" s="1" t="s">
        <v>55</v>
      </c>
      <c r="C82" s="1" t="s">
        <v>24</v>
      </c>
      <c r="D82" s="1" t="s">
        <v>12</v>
      </c>
      <c r="E82" s="2">
        <v>679.71</v>
      </c>
      <c r="F82" s="2">
        <v>19</v>
      </c>
      <c r="G82" s="2">
        <v>0</v>
      </c>
      <c r="H82" s="3">
        <v>45534</v>
      </c>
      <c r="I82" s="2">
        <v>271.88</v>
      </c>
      <c r="J82" s="5">
        <f>Sales_Data1[[#This Row],[Sales]]*Sales_Data1[[#This Row],[Quantity]]*(1-Sales_Data1[[#This Row],[Discount]])</f>
        <v>12914.490000000002</v>
      </c>
    </row>
    <row r="83" spans="1:10" ht="16.5" customHeight="1" thickBot="1" x14ac:dyDescent="0.4">
      <c r="A83" s="4" t="s">
        <v>68</v>
      </c>
      <c r="B83" s="1" t="s">
        <v>33</v>
      </c>
      <c r="C83" s="1" t="s">
        <v>18</v>
      </c>
      <c r="D83" s="1" t="s">
        <v>27</v>
      </c>
      <c r="E83" s="2">
        <v>1143.69</v>
      </c>
      <c r="F83" s="2">
        <v>17</v>
      </c>
      <c r="G83" s="2">
        <v>0</v>
      </c>
      <c r="H83" s="3">
        <v>45534</v>
      </c>
      <c r="I83" s="2">
        <v>400.29</v>
      </c>
      <c r="J83" s="5">
        <f>Sales_Data1[[#This Row],[Sales]]*Sales_Data1[[#This Row],[Quantity]]*(1-Sales_Data1[[#This Row],[Discount]])</f>
        <v>19442.73</v>
      </c>
    </row>
    <row r="84" spans="1:10" ht="16.5" hidden="1" customHeight="1" thickBot="1" x14ac:dyDescent="0.4">
      <c r="A84" s="4" t="s">
        <v>52</v>
      </c>
      <c r="B84" s="1" t="s">
        <v>50</v>
      </c>
      <c r="C84" s="1" t="s">
        <v>34</v>
      </c>
      <c r="D84" s="1" t="s">
        <v>21</v>
      </c>
      <c r="E84" s="2">
        <v>790.08</v>
      </c>
      <c r="F84" s="2">
        <v>7</v>
      </c>
      <c r="G84" s="2">
        <v>0.1</v>
      </c>
      <c r="H84" s="3">
        <v>45536</v>
      </c>
      <c r="I84" s="2">
        <v>177.77</v>
      </c>
      <c r="J84" s="5">
        <f>Sales_Data1[[#This Row],[Sales]]*Sales_Data1[[#This Row],[Quantity]]*(1-Sales_Data1[[#This Row],[Discount]])</f>
        <v>4977.5040000000008</v>
      </c>
    </row>
    <row r="85" spans="1:10" ht="16.5" hidden="1" customHeight="1" thickBot="1" x14ac:dyDescent="0.4">
      <c r="A85" s="4" t="s">
        <v>19</v>
      </c>
      <c r="B85" s="1" t="s">
        <v>48</v>
      </c>
      <c r="C85" s="1" t="s">
        <v>34</v>
      </c>
      <c r="D85" s="1" t="s">
        <v>12</v>
      </c>
      <c r="E85" s="2">
        <v>1070.68</v>
      </c>
      <c r="F85" s="2">
        <v>7</v>
      </c>
      <c r="G85" s="2">
        <v>0.05</v>
      </c>
      <c r="H85" s="3">
        <v>45536</v>
      </c>
      <c r="I85" s="2">
        <v>406.86</v>
      </c>
      <c r="J85" s="5">
        <f>Sales_Data1[[#This Row],[Sales]]*Sales_Data1[[#This Row],[Quantity]]*(1-Sales_Data1[[#This Row],[Discount]])</f>
        <v>7120.0219999999999</v>
      </c>
    </row>
    <row r="86" spans="1:10" ht="16.5" hidden="1" customHeight="1" thickBot="1" x14ac:dyDescent="0.4">
      <c r="A86" s="4" t="s">
        <v>58</v>
      </c>
      <c r="B86" s="1" t="s">
        <v>36</v>
      </c>
      <c r="C86" s="1" t="s">
        <v>11</v>
      </c>
      <c r="D86" s="1" t="s">
        <v>15</v>
      </c>
      <c r="E86" s="2">
        <v>1168.8900000000001</v>
      </c>
      <c r="F86" s="2">
        <v>4</v>
      </c>
      <c r="G86" s="2">
        <v>0.1</v>
      </c>
      <c r="H86" s="3">
        <v>45544</v>
      </c>
      <c r="I86" s="2">
        <v>526</v>
      </c>
      <c r="J86" s="5">
        <f>Sales_Data1[[#This Row],[Sales]]*Sales_Data1[[#This Row],[Quantity]]*(1-Sales_Data1[[#This Row],[Discount]])</f>
        <v>4208.0040000000008</v>
      </c>
    </row>
    <row r="87" spans="1:10" ht="16.5" customHeight="1" thickBot="1" x14ac:dyDescent="0.4">
      <c r="A87" s="4" t="s">
        <v>67</v>
      </c>
      <c r="B87" s="1" t="s">
        <v>10</v>
      </c>
      <c r="C87" s="1" t="s">
        <v>20</v>
      </c>
      <c r="D87" s="1" t="s">
        <v>21</v>
      </c>
      <c r="E87" s="2">
        <v>1335.87</v>
      </c>
      <c r="F87" s="2">
        <v>17</v>
      </c>
      <c r="G87" s="2">
        <v>0</v>
      </c>
      <c r="H87" s="3">
        <v>45544</v>
      </c>
      <c r="I87" s="2">
        <v>333.97</v>
      </c>
      <c r="J87" s="5">
        <f>Sales_Data1[[#This Row],[Sales]]*Sales_Data1[[#This Row],[Quantity]]*(1-Sales_Data1[[#This Row],[Discount]])</f>
        <v>22709.789999999997</v>
      </c>
    </row>
    <row r="88" spans="1:10" ht="16.5" hidden="1" customHeight="1" thickBot="1" x14ac:dyDescent="0.4">
      <c r="A88" s="4" t="s">
        <v>40</v>
      </c>
      <c r="B88" s="1" t="s">
        <v>55</v>
      </c>
      <c r="C88" s="1" t="s">
        <v>18</v>
      </c>
      <c r="D88" s="1" t="s">
        <v>27</v>
      </c>
      <c r="E88" s="2">
        <v>873.7</v>
      </c>
      <c r="F88" s="2">
        <v>9</v>
      </c>
      <c r="G88" s="2">
        <v>0</v>
      </c>
      <c r="H88" s="3">
        <v>45546</v>
      </c>
      <c r="I88" s="2">
        <v>305.8</v>
      </c>
      <c r="J88" s="5">
        <f>Sales_Data1[[#This Row],[Sales]]*Sales_Data1[[#This Row],[Quantity]]*(1-Sales_Data1[[#This Row],[Discount]])</f>
        <v>7863.3</v>
      </c>
    </row>
    <row r="89" spans="1:10" ht="16.5" customHeight="1" thickBot="1" x14ac:dyDescent="0.4">
      <c r="A89" s="4" t="s">
        <v>72</v>
      </c>
      <c r="B89" s="1" t="s">
        <v>64</v>
      </c>
      <c r="C89" s="1" t="s">
        <v>11</v>
      </c>
      <c r="D89" s="1" t="s">
        <v>39</v>
      </c>
      <c r="E89" s="2">
        <v>1443.98</v>
      </c>
      <c r="F89" s="2">
        <v>19</v>
      </c>
      <c r="G89" s="2">
        <v>0</v>
      </c>
      <c r="H89" s="3">
        <v>45547</v>
      </c>
      <c r="I89" s="2">
        <v>649.79</v>
      </c>
      <c r="J89" s="5">
        <f>Sales_Data1[[#This Row],[Sales]]*Sales_Data1[[#This Row],[Quantity]]*(1-Sales_Data1[[#This Row],[Discount]])</f>
        <v>27435.62</v>
      </c>
    </row>
    <row r="90" spans="1:10" ht="16.5" hidden="1" customHeight="1" thickBot="1" x14ac:dyDescent="0.4">
      <c r="A90" s="4" t="s">
        <v>40</v>
      </c>
      <c r="B90" s="1" t="s">
        <v>23</v>
      </c>
      <c r="C90" s="1" t="s">
        <v>18</v>
      </c>
      <c r="D90" s="1" t="s">
        <v>39</v>
      </c>
      <c r="E90" s="2">
        <v>1154.33</v>
      </c>
      <c r="F90" s="2">
        <v>11</v>
      </c>
      <c r="G90" s="2">
        <v>0.15</v>
      </c>
      <c r="H90" s="3">
        <v>45549</v>
      </c>
      <c r="I90" s="2">
        <v>441.53</v>
      </c>
      <c r="J90" s="5">
        <f>Sales_Data1[[#This Row],[Sales]]*Sales_Data1[[#This Row],[Quantity]]*(1-Sales_Data1[[#This Row],[Discount]])</f>
        <v>10792.985499999999</v>
      </c>
    </row>
    <row r="91" spans="1:10" ht="16.5" hidden="1" customHeight="1" thickBot="1" x14ac:dyDescent="0.4">
      <c r="A91" s="4" t="s">
        <v>49</v>
      </c>
      <c r="B91" s="1" t="s">
        <v>50</v>
      </c>
      <c r="C91" s="1" t="s">
        <v>20</v>
      </c>
      <c r="D91" s="1" t="s">
        <v>12</v>
      </c>
      <c r="E91" s="2">
        <v>1264.49</v>
      </c>
      <c r="F91" s="2">
        <v>16</v>
      </c>
      <c r="G91" s="2">
        <v>0.05</v>
      </c>
      <c r="H91" s="3">
        <v>45549</v>
      </c>
      <c r="I91" s="2">
        <v>480.51</v>
      </c>
      <c r="J91" s="5">
        <f>Sales_Data1[[#This Row],[Sales]]*Sales_Data1[[#This Row],[Quantity]]*(1-Sales_Data1[[#This Row],[Discount]])</f>
        <v>19220.248</v>
      </c>
    </row>
    <row r="92" spans="1:10" ht="16.5" hidden="1" customHeight="1" thickBot="1" x14ac:dyDescent="0.4">
      <c r="A92" s="4" t="s">
        <v>25</v>
      </c>
      <c r="B92" s="1" t="s">
        <v>66</v>
      </c>
      <c r="C92" s="1" t="s">
        <v>11</v>
      </c>
      <c r="D92" s="1" t="s">
        <v>27</v>
      </c>
      <c r="E92" s="2">
        <v>1101.55</v>
      </c>
      <c r="F92" s="2">
        <v>4</v>
      </c>
      <c r="G92" s="2">
        <v>0.1</v>
      </c>
      <c r="H92" s="3">
        <v>45551</v>
      </c>
      <c r="I92" s="2">
        <v>346.99</v>
      </c>
      <c r="J92" s="5">
        <f>Sales_Data1[[#This Row],[Sales]]*Sales_Data1[[#This Row],[Quantity]]*(1-Sales_Data1[[#This Row],[Discount]])</f>
        <v>3965.58</v>
      </c>
    </row>
    <row r="93" spans="1:10" ht="16.5" hidden="1" customHeight="1" thickBot="1" x14ac:dyDescent="0.4">
      <c r="A93" s="4" t="s">
        <v>73</v>
      </c>
      <c r="B93" s="1" t="s">
        <v>14</v>
      </c>
      <c r="C93" s="1" t="s">
        <v>20</v>
      </c>
      <c r="D93" s="1" t="s">
        <v>27</v>
      </c>
      <c r="E93" s="2">
        <v>727.73</v>
      </c>
      <c r="F93" s="2">
        <v>1</v>
      </c>
      <c r="G93" s="2">
        <v>0.1</v>
      </c>
      <c r="H93" s="3">
        <v>45552</v>
      </c>
      <c r="I93" s="2">
        <v>229.23</v>
      </c>
      <c r="J93" s="5">
        <f>Sales_Data1[[#This Row],[Sales]]*Sales_Data1[[#This Row],[Quantity]]*(1-Sales_Data1[[#This Row],[Discount]])</f>
        <v>654.95699999999999</v>
      </c>
    </row>
    <row r="94" spans="1:10" ht="16.5" hidden="1" customHeight="1" thickBot="1" x14ac:dyDescent="0.4">
      <c r="A94" s="4" t="s">
        <v>74</v>
      </c>
      <c r="B94" s="1" t="s">
        <v>38</v>
      </c>
      <c r="C94" s="1" t="s">
        <v>18</v>
      </c>
      <c r="D94" s="1" t="s">
        <v>39</v>
      </c>
      <c r="E94" s="2">
        <v>875.41</v>
      </c>
      <c r="F94" s="2">
        <v>13</v>
      </c>
      <c r="G94" s="2">
        <v>0.15</v>
      </c>
      <c r="H94" s="3">
        <v>45552</v>
      </c>
      <c r="I94" s="2">
        <v>334.84</v>
      </c>
      <c r="J94" s="5">
        <f>Sales_Data1[[#This Row],[Sales]]*Sales_Data1[[#This Row],[Quantity]]*(1-Sales_Data1[[#This Row],[Discount]])</f>
        <v>9673.2804999999989</v>
      </c>
    </row>
    <row r="95" spans="1:10" ht="16.5" hidden="1" customHeight="1" thickBot="1" x14ac:dyDescent="0.4">
      <c r="A95" s="4" t="s">
        <v>67</v>
      </c>
      <c r="B95" s="1" t="s">
        <v>23</v>
      </c>
      <c r="C95" s="1" t="s">
        <v>11</v>
      </c>
      <c r="D95" s="1" t="s">
        <v>21</v>
      </c>
      <c r="E95" s="2">
        <v>1158.94</v>
      </c>
      <c r="F95" s="2">
        <v>19</v>
      </c>
      <c r="G95" s="2">
        <v>0.2</v>
      </c>
      <c r="H95" s="3">
        <v>45553</v>
      </c>
      <c r="I95" s="2">
        <v>231.79</v>
      </c>
      <c r="J95" s="5">
        <f>Sales_Data1[[#This Row],[Sales]]*Sales_Data1[[#This Row],[Quantity]]*(1-Sales_Data1[[#This Row],[Discount]])</f>
        <v>17615.888000000003</v>
      </c>
    </row>
    <row r="96" spans="1:10" ht="16.5" hidden="1" customHeight="1" thickBot="1" x14ac:dyDescent="0.4">
      <c r="A96" s="4" t="s">
        <v>75</v>
      </c>
      <c r="B96" s="1" t="s">
        <v>47</v>
      </c>
      <c r="C96" s="1" t="s">
        <v>20</v>
      </c>
      <c r="D96" s="1" t="s">
        <v>12</v>
      </c>
      <c r="E96" s="2">
        <v>966.3</v>
      </c>
      <c r="F96" s="2">
        <v>2</v>
      </c>
      <c r="G96" s="2">
        <v>0.15</v>
      </c>
      <c r="H96" s="3">
        <v>45557</v>
      </c>
      <c r="I96" s="2">
        <v>328.54</v>
      </c>
      <c r="J96" s="5">
        <f>Sales_Data1[[#This Row],[Sales]]*Sales_Data1[[#This Row],[Quantity]]*(1-Sales_Data1[[#This Row],[Discount]])</f>
        <v>1642.7099999999998</v>
      </c>
    </row>
    <row r="97" spans="1:10" ht="16.5" hidden="1" customHeight="1" thickBot="1" x14ac:dyDescent="0.4">
      <c r="A97" s="4" t="s">
        <v>68</v>
      </c>
      <c r="B97" s="1" t="s">
        <v>17</v>
      </c>
      <c r="C97" s="1" t="s">
        <v>20</v>
      </c>
      <c r="D97" s="1" t="s">
        <v>12</v>
      </c>
      <c r="E97" s="2">
        <v>917.48</v>
      </c>
      <c r="F97" s="2">
        <v>6</v>
      </c>
      <c r="G97" s="2">
        <v>0</v>
      </c>
      <c r="H97" s="3">
        <v>45558</v>
      </c>
      <c r="I97" s="2">
        <v>366.99</v>
      </c>
      <c r="J97" s="5">
        <f>Sales_Data1[[#This Row],[Sales]]*Sales_Data1[[#This Row],[Quantity]]*(1-Sales_Data1[[#This Row],[Discount]])</f>
        <v>5504.88</v>
      </c>
    </row>
    <row r="98" spans="1:10" ht="16.5" hidden="1" customHeight="1" thickBot="1" x14ac:dyDescent="0.4">
      <c r="A98" s="4" t="s">
        <v>41</v>
      </c>
      <c r="B98" s="1" t="s">
        <v>61</v>
      </c>
      <c r="C98" s="1" t="s">
        <v>11</v>
      </c>
      <c r="D98" s="1" t="s">
        <v>27</v>
      </c>
      <c r="E98" s="2">
        <v>1172.97</v>
      </c>
      <c r="F98" s="2">
        <v>7</v>
      </c>
      <c r="G98" s="2">
        <v>0.15</v>
      </c>
      <c r="H98" s="3">
        <v>45559</v>
      </c>
      <c r="I98" s="2">
        <v>348.96</v>
      </c>
      <c r="J98" s="5">
        <f>Sales_Data1[[#This Row],[Sales]]*Sales_Data1[[#This Row],[Quantity]]*(1-Sales_Data1[[#This Row],[Discount]])</f>
        <v>6979.1715000000004</v>
      </c>
    </row>
    <row r="99" spans="1:10" ht="16.5" hidden="1" customHeight="1" thickBot="1" x14ac:dyDescent="0.4">
      <c r="A99" s="4" t="s">
        <v>57</v>
      </c>
      <c r="B99" s="1" t="s">
        <v>23</v>
      </c>
      <c r="C99" s="1" t="s">
        <v>24</v>
      </c>
      <c r="D99" s="1" t="s">
        <v>15</v>
      </c>
      <c r="E99" s="2">
        <v>1205.82</v>
      </c>
      <c r="F99" s="2">
        <v>11</v>
      </c>
      <c r="G99" s="2">
        <v>0.1</v>
      </c>
      <c r="H99" s="3">
        <v>45559</v>
      </c>
      <c r="I99" s="2">
        <v>542.62</v>
      </c>
      <c r="J99" s="5">
        <f>Sales_Data1[[#This Row],[Sales]]*Sales_Data1[[#This Row],[Quantity]]*(1-Sales_Data1[[#This Row],[Discount]])</f>
        <v>11937.617999999999</v>
      </c>
    </row>
    <row r="100" spans="1:10" ht="16.5" hidden="1" customHeight="1" thickBot="1" x14ac:dyDescent="0.4">
      <c r="A100" s="4" t="s">
        <v>16</v>
      </c>
      <c r="B100" s="1" t="s">
        <v>64</v>
      </c>
      <c r="C100" s="1" t="s">
        <v>11</v>
      </c>
      <c r="D100" s="1" t="s">
        <v>39</v>
      </c>
      <c r="E100" s="2">
        <v>826.93</v>
      </c>
      <c r="F100" s="2">
        <v>10</v>
      </c>
      <c r="G100" s="2">
        <v>0.2</v>
      </c>
      <c r="H100" s="3">
        <v>45564</v>
      </c>
      <c r="I100" s="2">
        <v>297.69</v>
      </c>
      <c r="J100" s="5">
        <f>Sales_Data1[[#This Row],[Sales]]*Sales_Data1[[#This Row],[Quantity]]*(1-Sales_Data1[[#This Row],[Discount]])</f>
        <v>6615.44</v>
      </c>
    </row>
    <row r="101" spans="1:10" ht="16.5" hidden="1" customHeight="1" thickBot="1" x14ac:dyDescent="0.4">
      <c r="A101" s="4" t="s">
        <v>67</v>
      </c>
      <c r="B101" s="1" t="s">
        <v>23</v>
      </c>
      <c r="C101" s="1" t="s">
        <v>34</v>
      </c>
      <c r="D101" s="1" t="s">
        <v>15</v>
      </c>
      <c r="E101" s="2">
        <v>902.19</v>
      </c>
      <c r="F101" s="2">
        <v>12</v>
      </c>
      <c r="G101" s="2">
        <v>0</v>
      </c>
      <c r="H101" s="3">
        <v>45564</v>
      </c>
      <c r="I101" s="2">
        <v>451.1</v>
      </c>
      <c r="J101" s="5">
        <f>Sales_Data1[[#This Row],[Sales]]*Sales_Data1[[#This Row],[Quantity]]*(1-Sales_Data1[[#This Row],[Discount]])</f>
        <v>10826.28</v>
      </c>
    </row>
    <row r="102" spans="1:10" ht="16.5" hidden="1" customHeight="1" thickBot="1" x14ac:dyDescent="0.4">
      <c r="A102" s="4" t="s">
        <v>74</v>
      </c>
      <c r="B102" s="1" t="s">
        <v>38</v>
      </c>
      <c r="C102" s="1" t="s">
        <v>24</v>
      </c>
      <c r="D102" s="1" t="s">
        <v>12</v>
      </c>
      <c r="E102" s="2">
        <v>585.97</v>
      </c>
      <c r="F102" s="2">
        <v>17</v>
      </c>
      <c r="G102" s="2">
        <v>0.1</v>
      </c>
      <c r="H102" s="3">
        <v>45565</v>
      </c>
      <c r="I102" s="2">
        <v>210.95</v>
      </c>
      <c r="J102" s="5">
        <f>Sales_Data1[[#This Row],[Sales]]*Sales_Data1[[#This Row],[Quantity]]*(1-Sales_Data1[[#This Row],[Discount]])</f>
        <v>8965.3410000000003</v>
      </c>
    </row>
    <row r="103" spans="1:10" ht="16.5" hidden="1" customHeight="1" thickBot="1" x14ac:dyDescent="0.4">
      <c r="A103" s="4" t="s">
        <v>60</v>
      </c>
      <c r="B103" s="1" t="s">
        <v>26</v>
      </c>
      <c r="C103" s="1" t="s">
        <v>24</v>
      </c>
      <c r="D103" s="1" t="s">
        <v>15</v>
      </c>
      <c r="E103" s="2">
        <v>990.19</v>
      </c>
      <c r="F103" s="2">
        <v>8</v>
      </c>
      <c r="G103" s="2">
        <v>0.1</v>
      </c>
      <c r="H103" s="3">
        <v>45565</v>
      </c>
      <c r="I103" s="2">
        <v>445.59</v>
      </c>
      <c r="J103" s="5">
        <f>Sales_Data1[[#This Row],[Sales]]*Sales_Data1[[#This Row],[Quantity]]*(1-Sales_Data1[[#This Row],[Discount]])</f>
        <v>7129.3680000000004</v>
      </c>
    </row>
    <row r="104" spans="1:10" ht="16.5" hidden="1" customHeight="1" thickBot="1" x14ac:dyDescent="0.4">
      <c r="A104" s="4" t="s">
        <v>44</v>
      </c>
      <c r="B104" s="1" t="s">
        <v>56</v>
      </c>
      <c r="C104" s="1" t="s">
        <v>34</v>
      </c>
      <c r="D104" s="1" t="s">
        <v>21</v>
      </c>
      <c r="E104" s="2">
        <v>1014.09</v>
      </c>
      <c r="F104" s="2">
        <v>13</v>
      </c>
      <c r="G104" s="2">
        <v>0.2</v>
      </c>
      <c r="H104" s="3">
        <v>45567</v>
      </c>
      <c r="I104" s="2">
        <v>202.82</v>
      </c>
      <c r="J104" s="5">
        <f>Sales_Data1[[#This Row],[Sales]]*Sales_Data1[[#This Row],[Quantity]]*(1-Sales_Data1[[#This Row],[Discount]])</f>
        <v>10546.536</v>
      </c>
    </row>
    <row r="105" spans="1:10" ht="16.5" hidden="1" customHeight="1" thickBot="1" x14ac:dyDescent="0.4">
      <c r="A105" s="4" t="s">
        <v>13</v>
      </c>
      <c r="B105" s="1" t="s">
        <v>48</v>
      </c>
      <c r="C105" s="1" t="s">
        <v>24</v>
      </c>
      <c r="D105" s="1" t="s">
        <v>21</v>
      </c>
      <c r="E105" s="2">
        <v>925.29</v>
      </c>
      <c r="F105" s="2">
        <v>17</v>
      </c>
      <c r="G105" s="2">
        <v>0</v>
      </c>
      <c r="H105" s="3">
        <v>45570</v>
      </c>
      <c r="I105" s="2">
        <v>231.32</v>
      </c>
      <c r="J105" s="5">
        <f>Sales_Data1[[#This Row],[Sales]]*Sales_Data1[[#This Row],[Quantity]]*(1-Sales_Data1[[#This Row],[Discount]])</f>
        <v>15729.93</v>
      </c>
    </row>
    <row r="106" spans="1:10" ht="16.5" hidden="1" customHeight="1" thickBot="1" x14ac:dyDescent="0.4">
      <c r="A106" s="4" t="s">
        <v>54</v>
      </c>
      <c r="B106" s="1" t="s">
        <v>47</v>
      </c>
      <c r="C106" s="1" t="s">
        <v>18</v>
      </c>
      <c r="D106" s="1" t="s">
        <v>27</v>
      </c>
      <c r="E106" s="2">
        <v>1286.54</v>
      </c>
      <c r="F106" s="2">
        <v>8</v>
      </c>
      <c r="G106" s="2">
        <v>0</v>
      </c>
      <c r="H106" s="3">
        <v>45575</v>
      </c>
      <c r="I106" s="2">
        <v>450.29</v>
      </c>
      <c r="J106" s="5">
        <f>Sales_Data1[[#This Row],[Sales]]*Sales_Data1[[#This Row],[Quantity]]*(1-Sales_Data1[[#This Row],[Discount]])</f>
        <v>10292.32</v>
      </c>
    </row>
    <row r="107" spans="1:10" ht="16.5" hidden="1" customHeight="1" thickBot="1" x14ac:dyDescent="0.4">
      <c r="A107" s="4" t="s">
        <v>37</v>
      </c>
      <c r="B107" s="1" t="s">
        <v>64</v>
      </c>
      <c r="C107" s="1" t="s">
        <v>20</v>
      </c>
      <c r="D107" s="1" t="s">
        <v>12</v>
      </c>
      <c r="E107" s="2">
        <v>961.62</v>
      </c>
      <c r="F107" s="2">
        <v>8</v>
      </c>
      <c r="G107" s="2">
        <v>0.2</v>
      </c>
      <c r="H107" s="3">
        <v>45577</v>
      </c>
      <c r="I107" s="2">
        <v>307.72000000000003</v>
      </c>
      <c r="J107" s="5">
        <f>Sales_Data1[[#This Row],[Sales]]*Sales_Data1[[#This Row],[Quantity]]*(1-Sales_Data1[[#This Row],[Discount]])</f>
        <v>6154.3680000000004</v>
      </c>
    </row>
    <row r="108" spans="1:10" ht="16.5" hidden="1" customHeight="1" thickBot="1" x14ac:dyDescent="0.4">
      <c r="A108" s="4" t="s">
        <v>44</v>
      </c>
      <c r="B108" s="1" t="s">
        <v>23</v>
      </c>
      <c r="C108" s="1" t="s">
        <v>18</v>
      </c>
      <c r="D108" s="1" t="s">
        <v>12</v>
      </c>
      <c r="E108" s="2">
        <v>1081.1400000000001</v>
      </c>
      <c r="F108" s="2">
        <v>19</v>
      </c>
      <c r="G108" s="2">
        <v>0.15</v>
      </c>
      <c r="H108" s="3">
        <v>45577</v>
      </c>
      <c r="I108" s="2">
        <v>367.59</v>
      </c>
      <c r="J108" s="5">
        <f>Sales_Data1[[#This Row],[Sales]]*Sales_Data1[[#This Row],[Quantity]]*(1-Sales_Data1[[#This Row],[Discount]])</f>
        <v>17460.411000000004</v>
      </c>
    </row>
    <row r="109" spans="1:10" ht="16.5" hidden="1" customHeight="1" thickBot="1" x14ac:dyDescent="0.4">
      <c r="A109" s="4" t="s">
        <v>58</v>
      </c>
      <c r="B109" s="1" t="s">
        <v>23</v>
      </c>
      <c r="C109" s="1" t="s">
        <v>11</v>
      </c>
      <c r="D109" s="1" t="s">
        <v>15</v>
      </c>
      <c r="E109" s="2">
        <v>1923.66</v>
      </c>
      <c r="F109" s="2">
        <v>9</v>
      </c>
      <c r="G109" s="2">
        <v>0.2</v>
      </c>
      <c r="H109" s="3">
        <v>45580</v>
      </c>
      <c r="I109" s="2">
        <v>769.46</v>
      </c>
      <c r="J109" s="5">
        <f>Sales_Data1[[#This Row],[Sales]]*Sales_Data1[[#This Row],[Quantity]]*(1-Sales_Data1[[#This Row],[Discount]])</f>
        <v>13850.352000000003</v>
      </c>
    </row>
    <row r="110" spans="1:10" ht="16.5" hidden="1" customHeight="1" thickBot="1" x14ac:dyDescent="0.4">
      <c r="A110" s="4" t="s">
        <v>54</v>
      </c>
      <c r="B110" s="1" t="s">
        <v>66</v>
      </c>
      <c r="C110" s="1" t="s">
        <v>34</v>
      </c>
      <c r="D110" s="1" t="s">
        <v>15</v>
      </c>
      <c r="E110" s="2">
        <v>728.71</v>
      </c>
      <c r="F110" s="2">
        <v>14</v>
      </c>
      <c r="G110" s="2">
        <v>0.1</v>
      </c>
      <c r="H110" s="3">
        <v>45581</v>
      </c>
      <c r="I110" s="2">
        <v>327.92</v>
      </c>
      <c r="J110" s="5">
        <f>Sales_Data1[[#This Row],[Sales]]*Sales_Data1[[#This Row],[Quantity]]*(1-Sales_Data1[[#This Row],[Discount]])</f>
        <v>9181.746000000001</v>
      </c>
    </row>
    <row r="111" spans="1:10" ht="16.5" hidden="1" customHeight="1" thickBot="1" x14ac:dyDescent="0.4">
      <c r="A111" s="4" t="s">
        <v>9</v>
      </c>
      <c r="B111" s="1" t="s">
        <v>33</v>
      </c>
      <c r="C111" s="1" t="s">
        <v>34</v>
      </c>
      <c r="D111" s="1" t="s">
        <v>15</v>
      </c>
      <c r="E111" s="2">
        <v>1301.8900000000001</v>
      </c>
      <c r="F111" s="2">
        <v>7</v>
      </c>
      <c r="G111" s="2">
        <v>0.15</v>
      </c>
      <c r="H111" s="3">
        <v>45581</v>
      </c>
      <c r="I111" s="2">
        <v>553.29999999999995</v>
      </c>
      <c r="J111" s="5">
        <f>Sales_Data1[[#This Row],[Sales]]*Sales_Data1[[#This Row],[Quantity]]*(1-Sales_Data1[[#This Row],[Discount]])</f>
        <v>7746.2455000000009</v>
      </c>
    </row>
    <row r="112" spans="1:10" ht="16.5" hidden="1" customHeight="1" thickBot="1" x14ac:dyDescent="0.4">
      <c r="A112" s="4" t="s">
        <v>70</v>
      </c>
      <c r="B112" s="1" t="s">
        <v>66</v>
      </c>
      <c r="C112" s="1" t="s">
        <v>18</v>
      </c>
      <c r="D112" s="1" t="s">
        <v>12</v>
      </c>
      <c r="E112" s="2">
        <v>980.18</v>
      </c>
      <c r="F112" s="2">
        <v>16</v>
      </c>
      <c r="G112" s="2">
        <v>0.1</v>
      </c>
      <c r="H112" s="3">
        <v>45582</v>
      </c>
      <c r="I112" s="2">
        <v>352.86</v>
      </c>
      <c r="J112" s="5">
        <f>Sales_Data1[[#This Row],[Sales]]*Sales_Data1[[#This Row],[Quantity]]*(1-Sales_Data1[[#This Row],[Discount]])</f>
        <v>14114.591999999999</v>
      </c>
    </row>
    <row r="113" spans="1:10" ht="16.5" hidden="1" customHeight="1" thickBot="1" x14ac:dyDescent="0.4">
      <c r="A113" s="4" t="s">
        <v>74</v>
      </c>
      <c r="B113" s="1" t="s">
        <v>23</v>
      </c>
      <c r="C113" s="1" t="s">
        <v>11</v>
      </c>
      <c r="D113" s="1" t="s">
        <v>15</v>
      </c>
      <c r="E113" s="2">
        <v>697.57</v>
      </c>
      <c r="F113" s="2">
        <v>17</v>
      </c>
      <c r="G113" s="2">
        <v>0.1</v>
      </c>
      <c r="H113" s="3">
        <v>45584</v>
      </c>
      <c r="I113" s="2">
        <v>313.91000000000003</v>
      </c>
      <c r="J113" s="5">
        <f>Sales_Data1[[#This Row],[Sales]]*Sales_Data1[[#This Row],[Quantity]]*(1-Sales_Data1[[#This Row],[Discount]])</f>
        <v>10672.821</v>
      </c>
    </row>
    <row r="114" spans="1:10" ht="16.5" hidden="1" customHeight="1" thickBot="1" x14ac:dyDescent="0.4">
      <c r="A114" s="4" t="s">
        <v>46</v>
      </c>
      <c r="B114" s="1" t="s">
        <v>71</v>
      </c>
      <c r="C114" s="1" t="s">
        <v>11</v>
      </c>
      <c r="D114" s="1" t="s">
        <v>27</v>
      </c>
      <c r="E114" s="2">
        <v>1193.6099999999999</v>
      </c>
      <c r="F114" s="2">
        <v>1</v>
      </c>
      <c r="G114" s="2">
        <v>0.15</v>
      </c>
      <c r="H114" s="3">
        <v>45584</v>
      </c>
      <c r="I114" s="2">
        <v>355.1</v>
      </c>
      <c r="J114" s="5">
        <f>Sales_Data1[[#This Row],[Sales]]*Sales_Data1[[#This Row],[Quantity]]*(1-Sales_Data1[[#This Row],[Discount]])</f>
        <v>1014.5684999999999</v>
      </c>
    </row>
    <row r="115" spans="1:10" ht="16.5" hidden="1" customHeight="1" thickBot="1" x14ac:dyDescent="0.4">
      <c r="A115" s="4" t="s">
        <v>32</v>
      </c>
      <c r="B115" s="1" t="s">
        <v>38</v>
      </c>
      <c r="C115" s="1" t="s">
        <v>20</v>
      </c>
      <c r="D115" s="1" t="s">
        <v>21</v>
      </c>
      <c r="E115" s="2">
        <v>771.02</v>
      </c>
      <c r="F115" s="2">
        <v>1</v>
      </c>
      <c r="G115" s="2">
        <v>0</v>
      </c>
      <c r="H115" s="3">
        <v>45585</v>
      </c>
      <c r="I115" s="2">
        <v>192.76</v>
      </c>
      <c r="J115" s="5">
        <f>Sales_Data1[[#This Row],[Sales]]*Sales_Data1[[#This Row],[Quantity]]*(1-Sales_Data1[[#This Row],[Discount]])</f>
        <v>771.02</v>
      </c>
    </row>
    <row r="116" spans="1:10" ht="16.5" hidden="1" customHeight="1" thickBot="1" x14ac:dyDescent="0.4">
      <c r="A116" s="4" t="s">
        <v>67</v>
      </c>
      <c r="B116" s="1" t="s">
        <v>69</v>
      </c>
      <c r="C116" s="1" t="s">
        <v>24</v>
      </c>
      <c r="D116" s="1" t="s">
        <v>15</v>
      </c>
      <c r="E116" s="2">
        <v>661.09</v>
      </c>
      <c r="F116" s="2">
        <v>1</v>
      </c>
      <c r="G116" s="2">
        <v>0.2</v>
      </c>
      <c r="H116" s="3">
        <v>45593</v>
      </c>
      <c r="I116" s="2">
        <v>264.44</v>
      </c>
      <c r="J116" s="5">
        <f>Sales_Data1[[#This Row],[Sales]]*Sales_Data1[[#This Row],[Quantity]]*(1-Sales_Data1[[#This Row],[Discount]])</f>
        <v>528.87200000000007</v>
      </c>
    </row>
    <row r="117" spans="1:10" ht="16.5" hidden="1" customHeight="1" thickBot="1" x14ac:dyDescent="0.4">
      <c r="A117" s="4" t="s">
        <v>13</v>
      </c>
      <c r="B117" s="1" t="s">
        <v>55</v>
      </c>
      <c r="C117" s="1" t="s">
        <v>11</v>
      </c>
      <c r="D117" s="1" t="s">
        <v>21</v>
      </c>
      <c r="E117" s="2">
        <v>688.83</v>
      </c>
      <c r="F117" s="2">
        <v>15</v>
      </c>
      <c r="G117" s="2">
        <v>0</v>
      </c>
      <c r="H117" s="3">
        <v>45595</v>
      </c>
      <c r="I117" s="2">
        <v>172.21</v>
      </c>
      <c r="J117" s="5">
        <f>Sales_Data1[[#This Row],[Sales]]*Sales_Data1[[#This Row],[Quantity]]*(1-Sales_Data1[[#This Row],[Discount]])</f>
        <v>10332.450000000001</v>
      </c>
    </row>
    <row r="118" spans="1:10" ht="16.5" hidden="1" customHeight="1" thickBot="1" x14ac:dyDescent="0.4">
      <c r="A118" s="4" t="s">
        <v>73</v>
      </c>
      <c r="B118" s="1" t="s">
        <v>29</v>
      </c>
      <c r="C118" s="1" t="s">
        <v>34</v>
      </c>
      <c r="D118" s="1" t="s">
        <v>12</v>
      </c>
      <c r="E118" s="2">
        <v>1249.0999999999999</v>
      </c>
      <c r="F118" s="2">
        <v>4</v>
      </c>
      <c r="G118" s="2">
        <v>0.05</v>
      </c>
      <c r="H118" s="3">
        <v>45597</v>
      </c>
      <c r="I118" s="2">
        <v>474.66</v>
      </c>
      <c r="J118" s="5">
        <f>Sales_Data1[[#This Row],[Sales]]*Sales_Data1[[#This Row],[Quantity]]*(1-Sales_Data1[[#This Row],[Discount]])</f>
        <v>4746.579999999999</v>
      </c>
    </row>
    <row r="119" spans="1:10" ht="16.5" hidden="1" customHeight="1" thickBot="1" x14ac:dyDescent="0.4">
      <c r="A119" s="4" t="s">
        <v>44</v>
      </c>
      <c r="B119" s="1" t="s">
        <v>23</v>
      </c>
      <c r="C119" s="1" t="s">
        <v>18</v>
      </c>
      <c r="D119" s="1" t="s">
        <v>39</v>
      </c>
      <c r="E119" s="2">
        <v>1014.22</v>
      </c>
      <c r="F119" s="2">
        <v>14</v>
      </c>
      <c r="G119" s="2">
        <v>0.05</v>
      </c>
      <c r="H119" s="3">
        <v>45599</v>
      </c>
      <c r="I119" s="2">
        <v>433.58</v>
      </c>
      <c r="J119" s="5">
        <f>Sales_Data1[[#This Row],[Sales]]*Sales_Data1[[#This Row],[Quantity]]*(1-Sales_Data1[[#This Row],[Discount]])</f>
        <v>13489.126</v>
      </c>
    </row>
    <row r="120" spans="1:10" ht="16.5" hidden="1" customHeight="1" thickBot="1" x14ac:dyDescent="0.4">
      <c r="A120" s="4" t="s">
        <v>54</v>
      </c>
      <c r="B120" s="1" t="s">
        <v>48</v>
      </c>
      <c r="C120" s="1" t="s">
        <v>18</v>
      </c>
      <c r="D120" s="1" t="s">
        <v>12</v>
      </c>
      <c r="E120" s="2">
        <v>1010.58</v>
      </c>
      <c r="F120" s="2">
        <v>2</v>
      </c>
      <c r="G120" s="2">
        <v>0.15</v>
      </c>
      <c r="H120" s="3">
        <v>45605</v>
      </c>
      <c r="I120" s="2">
        <v>343.6</v>
      </c>
      <c r="J120" s="5">
        <f>Sales_Data1[[#This Row],[Sales]]*Sales_Data1[[#This Row],[Quantity]]*(1-Sales_Data1[[#This Row],[Discount]])</f>
        <v>1717.9860000000001</v>
      </c>
    </row>
    <row r="121" spans="1:10" ht="16.5" hidden="1" customHeight="1" thickBot="1" x14ac:dyDescent="0.4">
      <c r="A121" s="4" t="s">
        <v>30</v>
      </c>
      <c r="B121" s="1" t="s">
        <v>59</v>
      </c>
      <c r="C121" s="1" t="s">
        <v>24</v>
      </c>
      <c r="D121" s="1" t="s">
        <v>27</v>
      </c>
      <c r="E121" s="2">
        <v>957.29</v>
      </c>
      <c r="F121" s="2">
        <v>4</v>
      </c>
      <c r="G121" s="2">
        <v>0.05</v>
      </c>
      <c r="H121" s="3">
        <v>45605</v>
      </c>
      <c r="I121" s="2">
        <v>318.3</v>
      </c>
      <c r="J121" s="5">
        <f>Sales_Data1[[#This Row],[Sales]]*Sales_Data1[[#This Row],[Quantity]]*(1-Sales_Data1[[#This Row],[Discount]])</f>
        <v>3637.7019999999998</v>
      </c>
    </row>
    <row r="122" spans="1:10" ht="16.5" hidden="1" customHeight="1" thickBot="1" x14ac:dyDescent="0.4">
      <c r="A122" s="4" t="s">
        <v>28</v>
      </c>
      <c r="B122" s="1" t="s">
        <v>45</v>
      </c>
      <c r="C122" s="1" t="s">
        <v>24</v>
      </c>
      <c r="D122" s="1" t="s">
        <v>27</v>
      </c>
      <c r="E122" s="2">
        <v>1077.92</v>
      </c>
      <c r="F122" s="2">
        <v>3</v>
      </c>
      <c r="G122" s="2">
        <v>0.05</v>
      </c>
      <c r="H122" s="3">
        <v>45608</v>
      </c>
      <c r="I122" s="2">
        <v>358.41</v>
      </c>
      <c r="J122" s="5">
        <f>Sales_Data1[[#This Row],[Sales]]*Sales_Data1[[#This Row],[Quantity]]*(1-Sales_Data1[[#This Row],[Discount]])</f>
        <v>3072.0720000000001</v>
      </c>
    </row>
    <row r="123" spans="1:10" ht="16.5" hidden="1" customHeight="1" thickBot="1" x14ac:dyDescent="0.4">
      <c r="A123" s="4" t="s">
        <v>52</v>
      </c>
      <c r="B123" s="1" t="s">
        <v>50</v>
      </c>
      <c r="C123" s="1" t="s">
        <v>20</v>
      </c>
      <c r="D123" s="1" t="s">
        <v>15</v>
      </c>
      <c r="E123" s="2">
        <v>1163.01</v>
      </c>
      <c r="F123" s="2">
        <v>5</v>
      </c>
      <c r="G123" s="2">
        <v>0</v>
      </c>
      <c r="H123" s="3">
        <v>45611</v>
      </c>
      <c r="I123" s="2">
        <v>581.5</v>
      </c>
      <c r="J123" s="5">
        <f>Sales_Data1[[#This Row],[Sales]]*Sales_Data1[[#This Row],[Quantity]]*(1-Sales_Data1[[#This Row],[Discount]])</f>
        <v>5815.05</v>
      </c>
    </row>
    <row r="124" spans="1:10" ht="16.5" hidden="1" customHeight="1" thickBot="1" x14ac:dyDescent="0.4">
      <c r="A124" s="4" t="s">
        <v>54</v>
      </c>
      <c r="B124" s="1" t="s">
        <v>45</v>
      </c>
      <c r="C124" s="1" t="s">
        <v>18</v>
      </c>
      <c r="D124" s="1" t="s">
        <v>39</v>
      </c>
      <c r="E124" s="2">
        <v>1014.56</v>
      </c>
      <c r="F124" s="2">
        <v>10</v>
      </c>
      <c r="G124" s="2">
        <v>0.1</v>
      </c>
      <c r="H124" s="3">
        <v>45612</v>
      </c>
      <c r="I124" s="2">
        <v>410.9</v>
      </c>
      <c r="J124" s="5">
        <f>Sales_Data1[[#This Row],[Sales]]*Sales_Data1[[#This Row],[Quantity]]*(1-Sales_Data1[[#This Row],[Discount]])</f>
        <v>9131.0399999999991</v>
      </c>
    </row>
    <row r="125" spans="1:10" ht="16.5" hidden="1" customHeight="1" thickBot="1" x14ac:dyDescent="0.4">
      <c r="A125" s="4" t="s">
        <v>9</v>
      </c>
      <c r="B125" s="1" t="s">
        <v>17</v>
      </c>
      <c r="C125" s="1" t="s">
        <v>20</v>
      </c>
      <c r="D125" s="1" t="s">
        <v>21</v>
      </c>
      <c r="E125" s="2">
        <v>718.04</v>
      </c>
      <c r="F125" s="2">
        <v>14</v>
      </c>
      <c r="G125" s="2">
        <v>0</v>
      </c>
      <c r="H125" s="3">
        <v>45613</v>
      </c>
      <c r="I125" s="2">
        <v>179.51</v>
      </c>
      <c r="J125" s="5">
        <f>Sales_Data1[[#This Row],[Sales]]*Sales_Data1[[#This Row],[Quantity]]*(1-Sales_Data1[[#This Row],[Discount]])</f>
        <v>10052.56</v>
      </c>
    </row>
    <row r="126" spans="1:10" ht="16.5" hidden="1" customHeight="1" thickBot="1" x14ac:dyDescent="0.4">
      <c r="A126" s="4" t="s">
        <v>72</v>
      </c>
      <c r="B126" s="1" t="s">
        <v>17</v>
      </c>
      <c r="C126" s="1" t="s">
        <v>34</v>
      </c>
      <c r="D126" s="1" t="s">
        <v>15</v>
      </c>
      <c r="E126" s="2">
        <v>1277.8499999999999</v>
      </c>
      <c r="F126" s="2">
        <v>18</v>
      </c>
      <c r="G126" s="2">
        <v>0.2</v>
      </c>
      <c r="H126" s="3">
        <v>45613</v>
      </c>
      <c r="I126" s="2">
        <v>511.14</v>
      </c>
      <c r="J126" s="5">
        <f>Sales_Data1[[#This Row],[Sales]]*Sales_Data1[[#This Row],[Quantity]]*(1-Sales_Data1[[#This Row],[Discount]])</f>
        <v>18401.04</v>
      </c>
    </row>
    <row r="127" spans="1:10" ht="16.5" hidden="1" customHeight="1" thickBot="1" x14ac:dyDescent="0.4">
      <c r="A127" s="4" t="s">
        <v>70</v>
      </c>
      <c r="B127" s="1" t="s">
        <v>23</v>
      </c>
      <c r="C127" s="1" t="s">
        <v>24</v>
      </c>
      <c r="D127" s="1" t="s">
        <v>21</v>
      </c>
      <c r="E127" s="2">
        <v>706.73</v>
      </c>
      <c r="F127" s="2">
        <v>1</v>
      </c>
      <c r="G127" s="2">
        <v>0.15</v>
      </c>
      <c r="H127" s="3">
        <v>45613</v>
      </c>
      <c r="I127" s="2">
        <v>150.18</v>
      </c>
      <c r="J127" s="5">
        <f>Sales_Data1[[#This Row],[Sales]]*Sales_Data1[[#This Row],[Quantity]]*(1-Sales_Data1[[#This Row],[Discount]])</f>
        <v>600.72050000000002</v>
      </c>
    </row>
    <row r="128" spans="1:10" ht="16.5" customHeight="1" thickBot="1" x14ac:dyDescent="0.4">
      <c r="A128" s="4" t="s">
        <v>65</v>
      </c>
      <c r="B128" s="1" t="s">
        <v>50</v>
      </c>
      <c r="C128" s="1" t="s">
        <v>18</v>
      </c>
      <c r="D128" s="1" t="s">
        <v>21</v>
      </c>
      <c r="E128" s="2">
        <v>1410.59</v>
      </c>
      <c r="F128" s="2">
        <v>15</v>
      </c>
      <c r="G128" s="2">
        <v>0</v>
      </c>
      <c r="H128" s="3">
        <v>45615</v>
      </c>
      <c r="I128" s="2">
        <v>352.65</v>
      </c>
      <c r="J128" s="5">
        <f>Sales_Data1[[#This Row],[Sales]]*Sales_Data1[[#This Row],[Quantity]]*(1-Sales_Data1[[#This Row],[Discount]])</f>
        <v>21158.85</v>
      </c>
    </row>
    <row r="129" spans="1:10" ht="16.5" hidden="1" customHeight="1" thickBot="1" x14ac:dyDescent="0.4">
      <c r="A129" s="4" t="s">
        <v>32</v>
      </c>
      <c r="B129" s="1" t="s">
        <v>61</v>
      </c>
      <c r="C129" s="1" t="s">
        <v>20</v>
      </c>
      <c r="D129" s="1" t="s">
        <v>27</v>
      </c>
      <c r="E129" s="2">
        <v>1350.33</v>
      </c>
      <c r="F129" s="2">
        <v>10</v>
      </c>
      <c r="G129" s="2">
        <v>0</v>
      </c>
      <c r="H129" s="3">
        <v>45615</v>
      </c>
      <c r="I129" s="2">
        <v>472.62</v>
      </c>
      <c r="J129" s="5">
        <f>Sales_Data1[[#This Row],[Sales]]*Sales_Data1[[#This Row],[Quantity]]*(1-Sales_Data1[[#This Row],[Discount]])</f>
        <v>13503.3</v>
      </c>
    </row>
    <row r="130" spans="1:10" ht="16.5" hidden="1" customHeight="1" thickBot="1" x14ac:dyDescent="0.4">
      <c r="A130" s="4" t="s">
        <v>41</v>
      </c>
      <c r="B130" s="1" t="s">
        <v>45</v>
      </c>
      <c r="C130" s="1" t="s">
        <v>18</v>
      </c>
      <c r="D130" s="1" t="s">
        <v>21</v>
      </c>
      <c r="E130" s="2">
        <v>919.18</v>
      </c>
      <c r="F130" s="2">
        <v>4</v>
      </c>
      <c r="G130" s="2">
        <v>0.15</v>
      </c>
      <c r="H130" s="3">
        <v>45615</v>
      </c>
      <c r="I130" s="2">
        <v>195.33</v>
      </c>
      <c r="J130" s="5">
        <f>Sales_Data1[[#This Row],[Sales]]*Sales_Data1[[#This Row],[Quantity]]*(1-Sales_Data1[[#This Row],[Discount]])</f>
        <v>3125.2119999999995</v>
      </c>
    </row>
    <row r="131" spans="1:10" ht="16.5" hidden="1" customHeight="1" thickBot="1" x14ac:dyDescent="0.4">
      <c r="A131" s="4" t="s">
        <v>74</v>
      </c>
      <c r="B131" s="1" t="s">
        <v>23</v>
      </c>
      <c r="C131" s="1" t="s">
        <v>11</v>
      </c>
      <c r="D131" s="1" t="s">
        <v>21</v>
      </c>
      <c r="E131" s="2">
        <v>258.51</v>
      </c>
      <c r="F131" s="2">
        <v>19</v>
      </c>
      <c r="G131" s="2">
        <v>0</v>
      </c>
      <c r="H131" s="3">
        <v>45616</v>
      </c>
      <c r="I131" s="2">
        <v>64.63</v>
      </c>
      <c r="J131" s="5">
        <f>Sales_Data1[[#This Row],[Sales]]*Sales_Data1[[#This Row],[Quantity]]*(1-Sales_Data1[[#This Row],[Discount]])</f>
        <v>4911.6899999999996</v>
      </c>
    </row>
    <row r="132" spans="1:10" ht="16.5" hidden="1" customHeight="1" thickBot="1" x14ac:dyDescent="0.4">
      <c r="A132" s="4" t="s">
        <v>63</v>
      </c>
      <c r="B132" s="1" t="s">
        <v>61</v>
      </c>
      <c r="C132" s="1" t="s">
        <v>18</v>
      </c>
      <c r="D132" s="1" t="s">
        <v>12</v>
      </c>
      <c r="E132" s="2">
        <v>1213.48</v>
      </c>
      <c r="F132" s="2">
        <v>5</v>
      </c>
      <c r="G132" s="2">
        <v>0.05</v>
      </c>
      <c r="H132" s="3">
        <v>45616</v>
      </c>
      <c r="I132" s="2">
        <v>461.12</v>
      </c>
      <c r="J132" s="5">
        <f>Sales_Data1[[#This Row],[Sales]]*Sales_Data1[[#This Row],[Quantity]]*(1-Sales_Data1[[#This Row],[Discount]])</f>
        <v>5764.03</v>
      </c>
    </row>
    <row r="133" spans="1:10" ht="16.5" hidden="1" customHeight="1" thickBot="1" x14ac:dyDescent="0.4">
      <c r="A133" s="4" t="s">
        <v>57</v>
      </c>
      <c r="B133" s="1" t="s">
        <v>38</v>
      </c>
      <c r="C133" s="1" t="s">
        <v>34</v>
      </c>
      <c r="D133" s="1" t="s">
        <v>12</v>
      </c>
      <c r="E133" s="2">
        <v>1150.28</v>
      </c>
      <c r="F133" s="2">
        <v>8</v>
      </c>
      <c r="G133" s="2">
        <v>0.05</v>
      </c>
      <c r="H133" s="3">
        <v>45622</v>
      </c>
      <c r="I133" s="2">
        <v>437.11</v>
      </c>
      <c r="J133" s="5">
        <f>Sales_Data1[[#This Row],[Sales]]*Sales_Data1[[#This Row],[Quantity]]*(1-Sales_Data1[[#This Row],[Discount]])</f>
        <v>8742.1279999999988</v>
      </c>
    </row>
    <row r="134" spans="1:10" ht="16.5" hidden="1" customHeight="1" thickBot="1" x14ac:dyDescent="0.4">
      <c r="A134" s="4" t="s">
        <v>37</v>
      </c>
      <c r="B134" s="1" t="s">
        <v>71</v>
      </c>
      <c r="C134" s="1" t="s">
        <v>20</v>
      </c>
      <c r="D134" s="1" t="s">
        <v>27</v>
      </c>
      <c r="E134" s="2">
        <v>853.86</v>
      </c>
      <c r="F134" s="2">
        <v>8</v>
      </c>
      <c r="G134" s="2">
        <v>0.1</v>
      </c>
      <c r="H134" s="3">
        <v>45622</v>
      </c>
      <c r="I134" s="2">
        <v>268.97000000000003</v>
      </c>
      <c r="J134" s="5">
        <f>Sales_Data1[[#This Row],[Sales]]*Sales_Data1[[#This Row],[Quantity]]*(1-Sales_Data1[[#This Row],[Discount]])</f>
        <v>6147.7920000000004</v>
      </c>
    </row>
    <row r="135" spans="1:10" ht="16.5" hidden="1" customHeight="1" thickBot="1" x14ac:dyDescent="0.4">
      <c r="A135" s="4" t="s">
        <v>75</v>
      </c>
      <c r="B135" s="1" t="s">
        <v>45</v>
      </c>
      <c r="C135" s="1" t="s">
        <v>20</v>
      </c>
      <c r="D135" s="1" t="s">
        <v>21</v>
      </c>
      <c r="E135" s="2">
        <v>1061.04</v>
      </c>
      <c r="F135" s="2">
        <v>1</v>
      </c>
      <c r="G135" s="2">
        <v>0</v>
      </c>
      <c r="H135" s="3">
        <v>45624</v>
      </c>
      <c r="I135" s="2">
        <v>265.26</v>
      </c>
      <c r="J135" s="5">
        <f>Sales_Data1[[#This Row],[Sales]]*Sales_Data1[[#This Row],[Quantity]]*(1-Sales_Data1[[#This Row],[Discount]])</f>
        <v>1061.04</v>
      </c>
    </row>
    <row r="136" spans="1:10" ht="16.5" hidden="1" customHeight="1" thickBot="1" x14ac:dyDescent="0.4">
      <c r="A136" s="4" t="s">
        <v>28</v>
      </c>
      <c r="B136" s="1" t="s">
        <v>43</v>
      </c>
      <c r="C136" s="1" t="s">
        <v>11</v>
      </c>
      <c r="D136" s="1" t="s">
        <v>21</v>
      </c>
      <c r="E136" s="2">
        <v>894.55</v>
      </c>
      <c r="F136" s="2">
        <v>19</v>
      </c>
      <c r="G136" s="2">
        <v>0.2</v>
      </c>
      <c r="H136" s="3">
        <v>45625</v>
      </c>
      <c r="I136" s="2">
        <v>178.91</v>
      </c>
      <c r="J136" s="5">
        <f>Sales_Data1[[#This Row],[Sales]]*Sales_Data1[[#This Row],[Quantity]]*(1-Sales_Data1[[#This Row],[Discount]])</f>
        <v>13597.160000000002</v>
      </c>
    </row>
    <row r="137" spans="1:10" ht="16.5" hidden="1" customHeight="1" thickBot="1" x14ac:dyDescent="0.4">
      <c r="A137" s="4" t="s">
        <v>25</v>
      </c>
      <c r="B137" s="1" t="s">
        <v>38</v>
      </c>
      <c r="C137" s="1" t="s">
        <v>24</v>
      </c>
      <c r="D137" s="1" t="s">
        <v>39</v>
      </c>
      <c r="E137" s="2">
        <v>833.91</v>
      </c>
      <c r="F137" s="2">
        <v>3</v>
      </c>
      <c r="G137" s="2">
        <v>0.05</v>
      </c>
      <c r="H137" s="3">
        <v>45626</v>
      </c>
      <c r="I137" s="2">
        <v>356.5</v>
      </c>
      <c r="J137" s="5">
        <f>Sales_Data1[[#This Row],[Sales]]*Sales_Data1[[#This Row],[Quantity]]*(1-Sales_Data1[[#This Row],[Discount]])</f>
        <v>2376.6435000000001</v>
      </c>
    </row>
    <row r="138" spans="1:10" ht="16.5" hidden="1" customHeight="1" thickBot="1" x14ac:dyDescent="0.4">
      <c r="A138" s="4" t="s">
        <v>58</v>
      </c>
      <c r="B138" s="1" t="s">
        <v>71</v>
      </c>
      <c r="C138" s="1" t="s">
        <v>11</v>
      </c>
      <c r="D138" s="1" t="s">
        <v>27</v>
      </c>
      <c r="E138" s="2">
        <v>820.19</v>
      </c>
      <c r="F138" s="2">
        <v>4</v>
      </c>
      <c r="G138" s="2">
        <v>0.2</v>
      </c>
      <c r="H138" s="3">
        <v>45630</v>
      </c>
      <c r="I138" s="2">
        <v>229.65</v>
      </c>
      <c r="J138" s="5">
        <f>Sales_Data1[[#This Row],[Sales]]*Sales_Data1[[#This Row],[Quantity]]*(1-Sales_Data1[[#This Row],[Discount]])</f>
        <v>2624.6080000000002</v>
      </c>
    </row>
    <row r="139" spans="1:10" ht="16.5" hidden="1" customHeight="1" thickBot="1" x14ac:dyDescent="0.4">
      <c r="A139" s="4" t="s">
        <v>58</v>
      </c>
      <c r="B139" s="1" t="s">
        <v>38</v>
      </c>
      <c r="C139" s="1" t="s">
        <v>34</v>
      </c>
      <c r="D139" s="1" t="s">
        <v>21</v>
      </c>
      <c r="E139" s="2">
        <v>511.74</v>
      </c>
      <c r="F139" s="2">
        <v>8</v>
      </c>
      <c r="G139" s="2">
        <v>0.05</v>
      </c>
      <c r="H139" s="3">
        <v>45631</v>
      </c>
      <c r="I139" s="2">
        <v>121.54</v>
      </c>
      <c r="J139" s="5">
        <f>Sales_Data1[[#This Row],[Sales]]*Sales_Data1[[#This Row],[Quantity]]*(1-Sales_Data1[[#This Row],[Discount]])</f>
        <v>3889.2239999999997</v>
      </c>
    </row>
    <row r="140" spans="1:10" ht="16.5" hidden="1" customHeight="1" thickBot="1" x14ac:dyDescent="0.4">
      <c r="A140" s="4" t="s">
        <v>65</v>
      </c>
      <c r="B140" s="1" t="s">
        <v>61</v>
      </c>
      <c r="C140" s="1" t="s">
        <v>20</v>
      </c>
      <c r="D140" s="1" t="s">
        <v>27</v>
      </c>
      <c r="E140" s="2">
        <v>806.03</v>
      </c>
      <c r="F140" s="2">
        <v>19</v>
      </c>
      <c r="G140" s="2">
        <v>0.05</v>
      </c>
      <c r="H140" s="3">
        <v>45638</v>
      </c>
      <c r="I140" s="2">
        <v>268</v>
      </c>
      <c r="J140" s="5">
        <f>Sales_Data1[[#This Row],[Sales]]*Sales_Data1[[#This Row],[Quantity]]*(1-Sales_Data1[[#This Row],[Discount]])</f>
        <v>14548.841499999999</v>
      </c>
    </row>
    <row r="141" spans="1:10" ht="16.5" customHeight="1" thickBot="1" x14ac:dyDescent="0.4">
      <c r="A141" s="4" t="s">
        <v>28</v>
      </c>
      <c r="B141" s="1" t="s">
        <v>26</v>
      </c>
      <c r="C141" s="1" t="s">
        <v>34</v>
      </c>
      <c r="D141" s="1" t="s">
        <v>27</v>
      </c>
      <c r="E141" s="2">
        <v>1432.47</v>
      </c>
      <c r="F141" s="2">
        <v>16</v>
      </c>
      <c r="G141" s="2">
        <v>0.15</v>
      </c>
      <c r="H141" s="3">
        <v>45640</v>
      </c>
      <c r="I141" s="2">
        <v>426.16</v>
      </c>
      <c r="J141" s="5">
        <f>Sales_Data1[[#This Row],[Sales]]*Sales_Data1[[#This Row],[Quantity]]*(1-Sales_Data1[[#This Row],[Discount]])</f>
        <v>19481.592000000001</v>
      </c>
    </row>
    <row r="142" spans="1:10" ht="16.5" hidden="1" customHeight="1" thickBot="1" x14ac:dyDescent="0.4">
      <c r="A142" s="4" t="s">
        <v>74</v>
      </c>
      <c r="B142" s="1" t="s">
        <v>29</v>
      </c>
      <c r="C142" s="1" t="s">
        <v>34</v>
      </c>
      <c r="D142" s="1" t="s">
        <v>21</v>
      </c>
      <c r="E142" s="2">
        <v>1488.58</v>
      </c>
      <c r="F142" s="2">
        <v>10</v>
      </c>
      <c r="G142" s="2">
        <v>0.15</v>
      </c>
      <c r="H142" s="3">
        <v>45640</v>
      </c>
      <c r="I142" s="2">
        <v>316.32</v>
      </c>
      <c r="J142" s="5">
        <f>Sales_Data1[[#This Row],[Sales]]*Sales_Data1[[#This Row],[Quantity]]*(1-Sales_Data1[[#This Row],[Discount]])</f>
        <v>12652.929999999998</v>
      </c>
    </row>
    <row r="143" spans="1:10" ht="16.5" hidden="1" customHeight="1" thickBot="1" x14ac:dyDescent="0.4">
      <c r="A143" s="4" t="s">
        <v>30</v>
      </c>
      <c r="B143" s="1" t="s">
        <v>66</v>
      </c>
      <c r="C143" s="1" t="s">
        <v>18</v>
      </c>
      <c r="D143" s="1" t="s">
        <v>12</v>
      </c>
      <c r="E143" s="2">
        <v>1231.26</v>
      </c>
      <c r="F143" s="2">
        <v>9</v>
      </c>
      <c r="G143" s="2">
        <v>0</v>
      </c>
      <c r="H143" s="3">
        <v>45646</v>
      </c>
      <c r="I143" s="2">
        <v>492.5</v>
      </c>
      <c r="J143" s="5">
        <f>Sales_Data1[[#This Row],[Sales]]*Sales_Data1[[#This Row],[Quantity]]*(1-Sales_Data1[[#This Row],[Discount]])</f>
        <v>11081.34</v>
      </c>
    </row>
    <row r="144" spans="1:10" ht="16.5" hidden="1" customHeight="1" thickBot="1" x14ac:dyDescent="0.4">
      <c r="A144" s="4" t="s">
        <v>30</v>
      </c>
      <c r="B144" s="1" t="s">
        <v>43</v>
      </c>
      <c r="C144" s="1" t="s">
        <v>11</v>
      </c>
      <c r="D144" s="1" t="s">
        <v>21</v>
      </c>
      <c r="E144" s="2">
        <v>1161.67</v>
      </c>
      <c r="F144" s="2">
        <v>19</v>
      </c>
      <c r="G144" s="2">
        <v>0.2</v>
      </c>
      <c r="H144" s="3">
        <v>45647</v>
      </c>
      <c r="I144" s="2">
        <v>232.33</v>
      </c>
      <c r="J144" s="5">
        <f>Sales_Data1[[#This Row],[Sales]]*Sales_Data1[[#This Row],[Quantity]]*(1-Sales_Data1[[#This Row],[Discount]])</f>
        <v>17657.384000000002</v>
      </c>
    </row>
    <row r="145" spans="1:10" ht="16.5" hidden="1" customHeight="1" thickBot="1" x14ac:dyDescent="0.4">
      <c r="A145" s="4" t="s">
        <v>49</v>
      </c>
      <c r="B145" s="1" t="s">
        <v>45</v>
      </c>
      <c r="C145" s="1" t="s">
        <v>34</v>
      </c>
      <c r="D145" s="1" t="s">
        <v>39</v>
      </c>
      <c r="E145" s="2">
        <v>388.23</v>
      </c>
      <c r="F145" s="2">
        <v>16</v>
      </c>
      <c r="G145" s="2">
        <v>0.05</v>
      </c>
      <c r="H145" s="3">
        <v>45650</v>
      </c>
      <c r="I145" s="2">
        <v>165.97</v>
      </c>
      <c r="J145" s="5">
        <f>Sales_Data1[[#This Row],[Sales]]*Sales_Data1[[#This Row],[Quantity]]*(1-Sales_Data1[[#This Row],[Discount]])</f>
        <v>5901.0959999999995</v>
      </c>
    </row>
    <row r="146" spans="1:10" ht="16.5" hidden="1" customHeight="1" thickBot="1" x14ac:dyDescent="0.4">
      <c r="A146" s="4" t="s">
        <v>72</v>
      </c>
      <c r="B146" s="1" t="s">
        <v>31</v>
      </c>
      <c r="C146" s="1" t="s">
        <v>24</v>
      </c>
      <c r="D146" s="1" t="s">
        <v>15</v>
      </c>
      <c r="E146" s="2">
        <v>1589.42</v>
      </c>
      <c r="F146" s="2">
        <v>6</v>
      </c>
      <c r="G146" s="2">
        <v>0.15</v>
      </c>
      <c r="H146" s="3">
        <v>45651</v>
      </c>
      <c r="I146" s="2">
        <v>675.5</v>
      </c>
      <c r="J146" s="5">
        <f>Sales_Data1[[#This Row],[Sales]]*Sales_Data1[[#This Row],[Quantity]]*(1-Sales_Data1[[#This Row],[Discount]])</f>
        <v>8106.0420000000004</v>
      </c>
    </row>
    <row r="147" spans="1:10" ht="16.5" hidden="1" customHeight="1" thickBot="1" x14ac:dyDescent="0.4">
      <c r="A147" s="4" t="s">
        <v>28</v>
      </c>
      <c r="B147" s="1" t="s">
        <v>71</v>
      </c>
      <c r="C147" s="1" t="s">
        <v>24</v>
      </c>
      <c r="D147" s="1" t="s">
        <v>15</v>
      </c>
      <c r="E147" s="2">
        <v>336.66</v>
      </c>
      <c r="F147" s="2">
        <v>13</v>
      </c>
      <c r="G147" s="2">
        <v>0.2</v>
      </c>
      <c r="H147" s="3">
        <v>45651</v>
      </c>
      <c r="I147" s="2">
        <v>134.66</v>
      </c>
      <c r="J147" s="5">
        <f>Sales_Data1[[#This Row],[Sales]]*Sales_Data1[[#This Row],[Quantity]]*(1-Sales_Data1[[#This Row],[Discount]])</f>
        <v>3501.2640000000001</v>
      </c>
    </row>
    <row r="148" spans="1:10" ht="16.5" hidden="1" customHeight="1" thickBot="1" x14ac:dyDescent="0.4">
      <c r="A148" s="4" t="s">
        <v>49</v>
      </c>
      <c r="B148" s="1" t="s">
        <v>23</v>
      </c>
      <c r="C148" s="1" t="s">
        <v>11</v>
      </c>
      <c r="D148" s="1" t="s">
        <v>12</v>
      </c>
      <c r="E148" s="2">
        <v>1353.79</v>
      </c>
      <c r="F148" s="2">
        <v>14</v>
      </c>
      <c r="G148" s="2">
        <v>0.1</v>
      </c>
      <c r="H148" s="3">
        <v>45656</v>
      </c>
      <c r="I148" s="2">
        <v>487.36</v>
      </c>
      <c r="J148" s="5">
        <f>Sales_Data1[[#This Row],[Sales]]*Sales_Data1[[#This Row],[Quantity]]*(1-Sales_Data1[[#This Row],[Discount]])</f>
        <v>17057.753999999997</v>
      </c>
    </row>
    <row r="149" spans="1:10" ht="16.5" hidden="1" customHeight="1" thickBot="1" x14ac:dyDescent="0.4">
      <c r="A149" s="4" t="s">
        <v>63</v>
      </c>
      <c r="B149" s="1" t="s">
        <v>69</v>
      </c>
      <c r="C149" s="1" t="s">
        <v>34</v>
      </c>
      <c r="D149" s="1" t="s">
        <v>15</v>
      </c>
      <c r="E149" s="2">
        <v>662.61</v>
      </c>
      <c r="F149" s="2">
        <v>11</v>
      </c>
      <c r="G149" s="2">
        <v>0.05</v>
      </c>
      <c r="H149" s="3">
        <v>45658</v>
      </c>
      <c r="I149" s="2">
        <v>314.74</v>
      </c>
      <c r="J149" s="5">
        <f>Sales_Data1[[#This Row],[Sales]]*Sales_Data1[[#This Row],[Quantity]]*(1-Sales_Data1[[#This Row],[Discount]])</f>
        <v>6924.2744999999995</v>
      </c>
    </row>
    <row r="150" spans="1:10" ht="16.5" hidden="1" customHeight="1" thickBot="1" x14ac:dyDescent="0.4">
      <c r="A150" s="4" t="s">
        <v>52</v>
      </c>
      <c r="B150" s="1" t="s">
        <v>48</v>
      </c>
      <c r="C150" s="1" t="s">
        <v>24</v>
      </c>
      <c r="D150" s="1" t="s">
        <v>39</v>
      </c>
      <c r="E150" s="2">
        <v>309.42</v>
      </c>
      <c r="F150" s="2">
        <v>1</v>
      </c>
      <c r="G150" s="2">
        <v>0.2</v>
      </c>
      <c r="H150" s="3">
        <v>45658</v>
      </c>
      <c r="I150" s="2">
        <v>111.39</v>
      </c>
      <c r="J150" s="5">
        <f>Sales_Data1[[#This Row],[Sales]]*Sales_Data1[[#This Row],[Quantity]]*(1-Sales_Data1[[#This Row],[Discount]])</f>
        <v>247.53600000000003</v>
      </c>
    </row>
    <row r="151" spans="1:10" ht="16.5" hidden="1" customHeight="1" thickBot="1" x14ac:dyDescent="0.4">
      <c r="A151" s="4" t="s">
        <v>63</v>
      </c>
      <c r="B151" s="1" t="s">
        <v>29</v>
      </c>
      <c r="C151" s="1" t="s">
        <v>24</v>
      </c>
      <c r="D151" s="1" t="s">
        <v>12</v>
      </c>
      <c r="E151" s="2">
        <v>884.63</v>
      </c>
      <c r="F151" s="2">
        <v>18</v>
      </c>
      <c r="G151" s="2">
        <v>0.1</v>
      </c>
      <c r="H151" s="3">
        <v>45659</v>
      </c>
      <c r="I151" s="2">
        <v>318.47000000000003</v>
      </c>
      <c r="J151" s="5">
        <f>Sales_Data1[[#This Row],[Sales]]*Sales_Data1[[#This Row],[Quantity]]*(1-Sales_Data1[[#This Row],[Discount]])</f>
        <v>14331.006000000001</v>
      </c>
    </row>
    <row r="152" spans="1:10" ht="16.5" hidden="1" customHeight="1" thickBot="1" x14ac:dyDescent="0.4">
      <c r="A152" s="4" t="s">
        <v>52</v>
      </c>
      <c r="B152" s="1" t="s">
        <v>23</v>
      </c>
      <c r="C152" s="1" t="s">
        <v>34</v>
      </c>
      <c r="D152" s="1" t="s">
        <v>39</v>
      </c>
      <c r="E152" s="2">
        <v>745.05</v>
      </c>
      <c r="F152" s="2">
        <v>10</v>
      </c>
      <c r="G152" s="2">
        <v>0.1</v>
      </c>
      <c r="H152" s="3">
        <v>45660</v>
      </c>
      <c r="I152" s="2">
        <v>301.75</v>
      </c>
      <c r="J152" s="5">
        <f>Sales_Data1[[#This Row],[Sales]]*Sales_Data1[[#This Row],[Quantity]]*(1-Sales_Data1[[#This Row],[Discount]])</f>
        <v>6705.45</v>
      </c>
    </row>
    <row r="153" spans="1:10" ht="16.5" hidden="1" customHeight="1" thickBot="1" x14ac:dyDescent="0.4">
      <c r="A153" s="4" t="s">
        <v>60</v>
      </c>
      <c r="B153" s="1" t="s">
        <v>17</v>
      </c>
      <c r="C153" s="1" t="s">
        <v>20</v>
      </c>
      <c r="D153" s="1" t="s">
        <v>15</v>
      </c>
      <c r="E153" s="2">
        <v>870.23</v>
      </c>
      <c r="F153" s="2">
        <v>5</v>
      </c>
      <c r="G153" s="2">
        <v>0.05</v>
      </c>
      <c r="H153" s="3">
        <v>45660</v>
      </c>
      <c r="I153" s="2">
        <v>413.36</v>
      </c>
      <c r="J153" s="5">
        <f>Sales_Data1[[#This Row],[Sales]]*Sales_Data1[[#This Row],[Quantity]]*(1-Sales_Data1[[#This Row],[Discount]])</f>
        <v>4133.5924999999997</v>
      </c>
    </row>
    <row r="154" spans="1:10" ht="16.5" hidden="1" customHeight="1" thickBot="1" x14ac:dyDescent="0.4">
      <c r="A154" s="4" t="s">
        <v>35</v>
      </c>
      <c r="B154" s="1" t="s">
        <v>29</v>
      </c>
      <c r="C154" s="1" t="s">
        <v>11</v>
      </c>
      <c r="D154" s="1" t="s">
        <v>27</v>
      </c>
      <c r="E154" s="2">
        <v>862.19</v>
      </c>
      <c r="F154" s="2">
        <v>18</v>
      </c>
      <c r="G154" s="2">
        <v>0.05</v>
      </c>
      <c r="H154" s="3">
        <v>45663</v>
      </c>
      <c r="I154" s="2">
        <v>286.68</v>
      </c>
      <c r="J154" s="5">
        <f>Sales_Data1[[#This Row],[Sales]]*Sales_Data1[[#This Row],[Quantity]]*(1-Sales_Data1[[#This Row],[Discount]])</f>
        <v>14743.449000000001</v>
      </c>
    </row>
    <row r="155" spans="1:10" ht="16.5" customHeight="1" thickBot="1" x14ac:dyDescent="0.4">
      <c r="A155" s="4" t="s">
        <v>73</v>
      </c>
      <c r="B155" s="1" t="s">
        <v>59</v>
      </c>
      <c r="C155" s="1" t="s">
        <v>24</v>
      </c>
      <c r="D155" s="1" t="s">
        <v>15</v>
      </c>
      <c r="E155" s="2">
        <v>1171.18</v>
      </c>
      <c r="F155" s="2">
        <v>19</v>
      </c>
      <c r="G155" s="2">
        <v>0.05</v>
      </c>
      <c r="H155" s="3">
        <v>45667</v>
      </c>
      <c r="I155" s="2">
        <v>556.30999999999995</v>
      </c>
      <c r="J155" s="5">
        <f>Sales_Data1[[#This Row],[Sales]]*Sales_Data1[[#This Row],[Quantity]]*(1-Sales_Data1[[#This Row],[Discount]])</f>
        <v>21139.798999999999</v>
      </c>
    </row>
    <row r="156" spans="1:10" ht="16.5" hidden="1" customHeight="1" thickBot="1" x14ac:dyDescent="0.4">
      <c r="A156" s="4" t="s">
        <v>58</v>
      </c>
      <c r="B156" s="1" t="s">
        <v>14</v>
      </c>
      <c r="C156" s="1" t="s">
        <v>20</v>
      </c>
      <c r="D156" s="1" t="s">
        <v>27</v>
      </c>
      <c r="E156" s="2">
        <v>1054.56</v>
      </c>
      <c r="F156" s="2">
        <v>11</v>
      </c>
      <c r="G156" s="2">
        <v>0.1</v>
      </c>
      <c r="H156" s="3">
        <v>45669</v>
      </c>
      <c r="I156" s="2">
        <v>332.19</v>
      </c>
      <c r="J156" s="5">
        <f>Sales_Data1[[#This Row],[Sales]]*Sales_Data1[[#This Row],[Quantity]]*(1-Sales_Data1[[#This Row],[Discount]])</f>
        <v>10440.144</v>
      </c>
    </row>
    <row r="157" spans="1:10" ht="16.5" hidden="1" customHeight="1" thickBot="1" x14ac:dyDescent="0.4">
      <c r="A157" s="4" t="s">
        <v>58</v>
      </c>
      <c r="B157" s="1" t="s">
        <v>23</v>
      </c>
      <c r="C157" s="1" t="s">
        <v>24</v>
      </c>
      <c r="D157" s="1" t="s">
        <v>21</v>
      </c>
      <c r="E157" s="2">
        <v>1681.21</v>
      </c>
      <c r="F157" s="2">
        <v>5</v>
      </c>
      <c r="G157" s="2">
        <v>0.2</v>
      </c>
      <c r="H157" s="3">
        <v>45670</v>
      </c>
      <c r="I157" s="2">
        <v>336.24</v>
      </c>
      <c r="J157" s="5">
        <f>Sales_Data1[[#This Row],[Sales]]*Sales_Data1[[#This Row],[Quantity]]*(1-Sales_Data1[[#This Row],[Discount]])</f>
        <v>6724.84</v>
      </c>
    </row>
    <row r="158" spans="1:10" ht="16.5" hidden="1" customHeight="1" thickBot="1" x14ac:dyDescent="0.4">
      <c r="A158" s="4" t="s">
        <v>58</v>
      </c>
      <c r="B158" s="1" t="s">
        <v>36</v>
      </c>
      <c r="C158" s="1" t="s">
        <v>11</v>
      </c>
      <c r="D158" s="1" t="s">
        <v>15</v>
      </c>
      <c r="E158" s="2">
        <v>379.77</v>
      </c>
      <c r="F158" s="2">
        <v>9</v>
      </c>
      <c r="G158" s="2">
        <v>0.05</v>
      </c>
      <c r="H158" s="3">
        <v>45673</v>
      </c>
      <c r="I158" s="2">
        <v>180.39</v>
      </c>
      <c r="J158" s="5">
        <f>Sales_Data1[[#This Row],[Sales]]*Sales_Data1[[#This Row],[Quantity]]*(1-Sales_Data1[[#This Row],[Discount]])</f>
        <v>3247.0334999999995</v>
      </c>
    </row>
    <row r="159" spans="1:10" ht="16.5" hidden="1" customHeight="1" thickBot="1" x14ac:dyDescent="0.4">
      <c r="A159" s="4" t="s">
        <v>44</v>
      </c>
      <c r="B159" s="1" t="s">
        <v>45</v>
      </c>
      <c r="C159" s="1" t="s">
        <v>34</v>
      </c>
      <c r="D159" s="1" t="s">
        <v>15</v>
      </c>
      <c r="E159" s="2">
        <v>1076.33</v>
      </c>
      <c r="F159" s="2">
        <v>2</v>
      </c>
      <c r="G159" s="2">
        <v>0.1</v>
      </c>
      <c r="H159" s="3">
        <v>45674</v>
      </c>
      <c r="I159" s="2">
        <v>484.35</v>
      </c>
      <c r="J159" s="5">
        <f>Sales_Data1[[#This Row],[Sales]]*Sales_Data1[[#This Row],[Quantity]]*(1-Sales_Data1[[#This Row],[Discount]])</f>
        <v>1937.394</v>
      </c>
    </row>
    <row r="160" spans="1:10" ht="16.5" hidden="1" customHeight="1" thickBot="1" x14ac:dyDescent="0.4">
      <c r="A160" s="4" t="s">
        <v>44</v>
      </c>
      <c r="B160" s="1" t="s">
        <v>31</v>
      </c>
      <c r="C160" s="1" t="s">
        <v>34</v>
      </c>
      <c r="D160" s="1" t="s">
        <v>39</v>
      </c>
      <c r="E160" s="2">
        <v>1250.71</v>
      </c>
      <c r="F160" s="2">
        <v>7</v>
      </c>
      <c r="G160" s="2">
        <v>0</v>
      </c>
      <c r="H160" s="3">
        <v>45674</v>
      </c>
      <c r="I160" s="2">
        <v>562.82000000000005</v>
      </c>
      <c r="J160" s="5">
        <f>Sales_Data1[[#This Row],[Sales]]*Sales_Data1[[#This Row],[Quantity]]*(1-Sales_Data1[[#This Row],[Discount]])</f>
        <v>8754.9700000000012</v>
      </c>
    </row>
    <row r="161" spans="1:10" ht="16.5" hidden="1" customHeight="1" thickBot="1" x14ac:dyDescent="0.4">
      <c r="A161" s="4" t="s">
        <v>40</v>
      </c>
      <c r="B161" s="1" t="s">
        <v>17</v>
      </c>
      <c r="C161" s="1" t="s">
        <v>20</v>
      </c>
      <c r="D161" s="1" t="s">
        <v>15</v>
      </c>
      <c r="E161" s="2">
        <v>1118.3399999999999</v>
      </c>
      <c r="F161" s="2">
        <v>6</v>
      </c>
      <c r="G161" s="2">
        <v>0.2</v>
      </c>
      <c r="H161" s="3">
        <v>45674</v>
      </c>
      <c r="I161" s="2">
        <v>447.34</v>
      </c>
      <c r="J161" s="5">
        <f>Sales_Data1[[#This Row],[Sales]]*Sales_Data1[[#This Row],[Quantity]]*(1-Sales_Data1[[#This Row],[Discount]])</f>
        <v>5368.0319999999992</v>
      </c>
    </row>
    <row r="162" spans="1:10" ht="16.5" hidden="1" customHeight="1" thickBot="1" x14ac:dyDescent="0.4">
      <c r="A162" s="4" t="s">
        <v>70</v>
      </c>
      <c r="B162" s="1" t="s">
        <v>53</v>
      </c>
      <c r="C162" s="1" t="s">
        <v>24</v>
      </c>
      <c r="D162" s="1" t="s">
        <v>15</v>
      </c>
      <c r="E162" s="2">
        <v>1622.62</v>
      </c>
      <c r="F162" s="2">
        <v>12</v>
      </c>
      <c r="G162" s="2">
        <v>0.2</v>
      </c>
      <c r="H162" s="3">
        <v>45677</v>
      </c>
      <c r="I162" s="2">
        <v>649.04999999999995</v>
      </c>
      <c r="J162" s="5">
        <f>Sales_Data1[[#This Row],[Sales]]*Sales_Data1[[#This Row],[Quantity]]*(1-Sales_Data1[[#This Row],[Discount]])</f>
        <v>15577.152</v>
      </c>
    </row>
    <row r="163" spans="1:10" ht="16.5" hidden="1" customHeight="1" thickBot="1" x14ac:dyDescent="0.4">
      <c r="A163" s="4" t="s">
        <v>75</v>
      </c>
      <c r="B163" s="1" t="s">
        <v>48</v>
      </c>
      <c r="C163" s="1" t="s">
        <v>24</v>
      </c>
      <c r="D163" s="1" t="s">
        <v>12</v>
      </c>
      <c r="E163" s="2">
        <v>640.64</v>
      </c>
      <c r="F163" s="2">
        <v>11</v>
      </c>
      <c r="G163" s="2">
        <v>0.2</v>
      </c>
      <c r="H163" s="3">
        <v>45678</v>
      </c>
      <c r="I163" s="2">
        <v>205</v>
      </c>
      <c r="J163" s="5">
        <f>Sales_Data1[[#This Row],[Sales]]*Sales_Data1[[#This Row],[Quantity]]*(1-Sales_Data1[[#This Row],[Discount]])</f>
        <v>5637.6320000000005</v>
      </c>
    </row>
    <row r="164" spans="1:10" ht="16.5" hidden="1" customHeight="1" thickBot="1" x14ac:dyDescent="0.4">
      <c r="A164" s="4" t="s">
        <v>22</v>
      </c>
      <c r="B164" s="1" t="s">
        <v>43</v>
      </c>
      <c r="C164" s="1" t="s">
        <v>11</v>
      </c>
      <c r="D164" s="1" t="s">
        <v>15</v>
      </c>
      <c r="E164" s="2">
        <v>585.16</v>
      </c>
      <c r="F164" s="2">
        <v>17</v>
      </c>
      <c r="G164" s="2">
        <v>0.1</v>
      </c>
      <c r="H164" s="3">
        <v>45684</v>
      </c>
      <c r="I164" s="2">
        <v>263.32</v>
      </c>
      <c r="J164" s="5">
        <f>Sales_Data1[[#This Row],[Sales]]*Sales_Data1[[#This Row],[Quantity]]*(1-Sales_Data1[[#This Row],[Discount]])</f>
        <v>8952.9480000000003</v>
      </c>
    </row>
    <row r="165" spans="1:10" ht="16.5" hidden="1" customHeight="1" thickBot="1" x14ac:dyDescent="0.4">
      <c r="A165" s="4" t="s">
        <v>22</v>
      </c>
      <c r="B165" s="1" t="s">
        <v>31</v>
      </c>
      <c r="C165" s="1" t="s">
        <v>18</v>
      </c>
      <c r="D165" s="1" t="s">
        <v>15</v>
      </c>
      <c r="E165" s="2">
        <v>1109.98</v>
      </c>
      <c r="F165" s="2">
        <v>5</v>
      </c>
      <c r="G165" s="2">
        <v>0.2</v>
      </c>
      <c r="H165" s="3">
        <v>45690</v>
      </c>
      <c r="I165" s="2">
        <v>443.99</v>
      </c>
      <c r="J165" s="5">
        <f>Sales_Data1[[#This Row],[Sales]]*Sales_Data1[[#This Row],[Quantity]]*(1-Sales_Data1[[#This Row],[Discount]])</f>
        <v>4439.92</v>
      </c>
    </row>
    <row r="166" spans="1:10" ht="16.5" hidden="1" customHeight="1" thickBot="1" x14ac:dyDescent="0.4">
      <c r="A166" s="4" t="s">
        <v>58</v>
      </c>
      <c r="B166" s="1" t="s">
        <v>45</v>
      </c>
      <c r="C166" s="1" t="s">
        <v>18</v>
      </c>
      <c r="D166" s="1" t="s">
        <v>12</v>
      </c>
      <c r="E166" s="2">
        <v>1098.08</v>
      </c>
      <c r="F166" s="2">
        <v>9</v>
      </c>
      <c r="G166" s="2">
        <v>0.1</v>
      </c>
      <c r="H166" s="3">
        <v>45692</v>
      </c>
      <c r="I166" s="2">
        <v>395.31</v>
      </c>
      <c r="J166" s="5">
        <f>Sales_Data1[[#This Row],[Sales]]*Sales_Data1[[#This Row],[Quantity]]*(1-Sales_Data1[[#This Row],[Discount]])</f>
        <v>8894.4480000000003</v>
      </c>
    </row>
    <row r="167" spans="1:10" ht="16.5" hidden="1" customHeight="1" thickBot="1" x14ac:dyDescent="0.4">
      <c r="A167" s="4" t="s">
        <v>65</v>
      </c>
      <c r="B167" s="1" t="s">
        <v>48</v>
      </c>
      <c r="C167" s="1" t="s">
        <v>11</v>
      </c>
      <c r="D167" s="1" t="s">
        <v>39</v>
      </c>
      <c r="E167" s="2">
        <v>827.25</v>
      </c>
      <c r="F167" s="2">
        <v>7</v>
      </c>
      <c r="G167" s="2">
        <v>0.1</v>
      </c>
      <c r="H167" s="3">
        <v>45693</v>
      </c>
      <c r="I167" s="2">
        <v>335.04</v>
      </c>
      <c r="J167" s="5">
        <f>Sales_Data1[[#This Row],[Sales]]*Sales_Data1[[#This Row],[Quantity]]*(1-Sales_Data1[[#This Row],[Discount]])</f>
        <v>5211.6750000000002</v>
      </c>
    </row>
    <row r="168" spans="1:10" ht="16.5" hidden="1" customHeight="1" thickBot="1" x14ac:dyDescent="0.4">
      <c r="A168" s="4" t="s">
        <v>70</v>
      </c>
      <c r="B168" s="1" t="s">
        <v>29</v>
      </c>
      <c r="C168" s="1" t="s">
        <v>34</v>
      </c>
      <c r="D168" s="1" t="s">
        <v>15</v>
      </c>
      <c r="E168" s="2">
        <v>741.88</v>
      </c>
      <c r="F168" s="2">
        <v>16</v>
      </c>
      <c r="G168" s="2">
        <v>0.1</v>
      </c>
      <c r="H168" s="3">
        <v>45695</v>
      </c>
      <c r="I168" s="2">
        <v>333.85</v>
      </c>
      <c r="J168" s="5">
        <f>Sales_Data1[[#This Row],[Sales]]*Sales_Data1[[#This Row],[Quantity]]*(1-Sales_Data1[[#This Row],[Discount]])</f>
        <v>10683.072</v>
      </c>
    </row>
    <row r="169" spans="1:10" ht="16.5" hidden="1" customHeight="1" thickBot="1" x14ac:dyDescent="0.4">
      <c r="A169" s="4" t="s">
        <v>72</v>
      </c>
      <c r="B169" s="1" t="s">
        <v>10</v>
      </c>
      <c r="C169" s="1" t="s">
        <v>18</v>
      </c>
      <c r="D169" s="1" t="s">
        <v>39</v>
      </c>
      <c r="E169" s="2">
        <v>1311.26</v>
      </c>
      <c r="F169" s="2">
        <v>6</v>
      </c>
      <c r="G169" s="2">
        <v>0.1</v>
      </c>
      <c r="H169" s="3">
        <v>45698</v>
      </c>
      <c r="I169" s="2">
        <v>531.05999999999995</v>
      </c>
      <c r="J169" s="5">
        <f>Sales_Data1[[#This Row],[Sales]]*Sales_Data1[[#This Row],[Quantity]]*(1-Sales_Data1[[#This Row],[Discount]])</f>
        <v>7080.8040000000001</v>
      </c>
    </row>
    <row r="170" spans="1:10" ht="16.5" hidden="1" customHeight="1" thickBot="1" x14ac:dyDescent="0.4">
      <c r="A170" s="4" t="s">
        <v>72</v>
      </c>
      <c r="B170" s="1" t="s">
        <v>31</v>
      </c>
      <c r="C170" s="1" t="s">
        <v>20</v>
      </c>
      <c r="D170" s="1" t="s">
        <v>39</v>
      </c>
      <c r="E170" s="2">
        <v>573.32000000000005</v>
      </c>
      <c r="F170" s="2">
        <v>19</v>
      </c>
      <c r="G170" s="2">
        <v>0.1</v>
      </c>
      <c r="H170" s="3">
        <v>45703</v>
      </c>
      <c r="I170" s="2">
        <v>232.19</v>
      </c>
      <c r="J170" s="5">
        <f>Sales_Data1[[#This Row],[Sales]]*Sales_Data1[[#This Row],[Quantity]]*(1-Sales_Data1[[#This Row],[Discount]])</f>
        <v>9803.7720000000027</v>
      </c>
    </row>
    <row r="171" spans="1:10" ht="16.5" hidden="1" customHeight="1" thickBot="1" x14ac:dyDescent="0.4">
      <c r="A171" s="4" t="s">
        <v>52</v>
      </c>
      <c r="B171" s="1" t="s">
        <v>23</v>
      </c>
      <c r="C171" s="1" t="s">
        <v>11</v>
      </c>
      <c r="D171" s="1" t="s">
        <v>21</v>
      </c>
      <c r="E171" s="2">
        <v>1115.22</v>
      </c>
      <c r="F171" s="2">
        <v>14</v>
      </c>
      <c r="G171" s="2">
        <v>0.2</v>
      </c>
      <c r="H171" s="3">
        <v>45705</v>
      </c>
      <c r="I171" s="2">
        <v>223.04</v>
      </c>
      <c r="J171" s="5">
        <f>Sales_Data1[[#This Row],[Sales]]*Sales_Data1[[#This Row],[Quantity]]*(1-Sales_Data1[[#This Row],[Discount]])</f>
        <v>12490.464</v>
      </c>
    </row>
    <row r="172" spans="1:10" ht="16.5" hidden="1" customHeight="1" thickBot="1" x14ac:dyDescent="0.4">
      <c r="A172" s="4" t="s">
        <v>13</v>
      </c>
      <c r="B172" s="1" t="s">
        <v>45</v>
      </c>
      <c r="C172" s="1" t="s">
        <v>24</v>
      </c>
      <c r="D172" s="1" t="s">
        <v>15</v>
      </c>
      <c r="E172" s="2">
        <v>845.84</v>
      </c>
      <c r="F172" s="2">
        <v>4</v>
      </c>
      <c r="G172" s="2">
        <v>0</v>
      </c>
      <c r="H172" s="3">
        <v>45707</v>
      </c>
      <c r="I172" s="2">
        <v>422.92</v>
      </c>
      <c r="J172" s="5">
        <f>Sales_Data1[[#This Row],[Sales]]*Sales_Data1[[#This Row],[Quantity]]*(1-Sales_Data1[[#This Row],[Discount]])</f>
        <v>3383.36</v>
      </c>
    </row>
    <row r="173" spans="1:10" ht="16.5" hidden="1" customHeight="1" thickBot="1" x14ac:dyDescent="0.4">
      <c r="A173" s="4" t="s">
        <v>30</v>
      </c>
      <c r="B173" s="1" t="s">
        <v>55</v>
      </c>
      <c r="C173" s="1" t="s">
        <v>11</v>
      </c>
      <c r="D173" s="1" t="s">
        <v>21</v>
      </c>
      <c r="E173" s="2">
        <v>1029.8</v>
      </c>
      <c r="F173" s="2">
        <v>3</v>
      </c>
      <c r="G173" s="2">
        <v>0</v>
      </c>
      <c r="H173" s="3">
        <v>45708</v>
      </c>
      <c r="I173" s="2">
        <v>257.45</v>
      </c>
      <c r="J173" s="5">
        <f>Sales_Data1[[#This Row],[Sales]]*Sales_Data1[[#This Row],[Quantity]]*(1-Sales_Data1[[#This Row],[Discount]])</f>
        <v>3089.3999999999996</v>
      </c>
    </row>
    <row r="174" spans="1:10" ht="16.5" hidden="1" customHeight="1" thickBot="1" x14ac:dyDescent="0.4">
      <c r="A174" s="4" t="s">
        <v>32</v>
      </c>
      <c r="B174" s="1" t="s">
        <v>31</v>
      </c>
      <c r="C174" s="1" t="s">
        <v>24</v>
      </c>
      <c r="D174" s="1" t="s">
        <v>12</v>
      </c>
      <c r="E174" s="2">
        <v>1189.83</v>
      </c>
      <c r="F174" s="2">
        <v>2</v>
      </c>
      <c r="G174" s="2">
        <v>0.2</v>
      </c>
      <c r="H174" s="3">
        <v>45709</v>
      </c>
      <c r="I174" s="2">
        <v>380.75</v>
      </c>
      <c r="J174" s="5">
        <f>Sales_Data1[[#This Row],[Sales]]*Sales_Data1[[#This Row],[Quantity]]*(1-Sales_Data1[[#This Row],[Discount]])</f>
        <v>1903.7280000000001</v>
      </c>
    </row>
    <row r="175" spans="1:10" ht="16.5" hidden="1" customHeight="1" thickBot="1" x14ac:dyDescent="0.4">
      <c r="A175" s="4" t="s">
        <v>67</v>
      </c>
      <c r="B175" s="1" t="s">
        <v>43</v>
      </c>
      <c r="C175" s="1" t="s">
        <v>20</v>
      </c>
      <c r="D175" s="1" t="s">
        <v>12</v>
      </c>
      <c r="E175" s="2">
        <v>704.28</v>
      </c>
      <c r="F175" s="2">
        <v>15</v>
      </c>
      <c r="G175" s="2">
        <v>0.2</v>
      </c>
      <c r="H175" s="3">
        <v>45712</v>
      </c>
      <c r="I175" s="2">
        <v>225.37</v>
      </c>
      <c r="J175" s="5">
        <f>Sales_Data1[[#This Row],[Sales]]*Sales_Data1[[#This Row],[Quantity]]*(1-Sales_Data1[[#This Row],[Discount]])</f>
        <v>8451.3599999999988</v>
      </c>
    </row>
    <row r="176" spans="1:10" ht="16.5" hidden="1" customHeight="1" thickBot="1" x14ac:dyDescent="0.4">
      <c r="A176" s="4" t="s">
        <v>65</v>
      </c>
      <c r="B176" s="1" t="s">
        <v>47</v>
      </c>
      <c r="C176" s="1" t="s">
        <v>34</v>
      </c>
      <c r="D176" s="1" t="s">
        <v>39</v>
      </c>
      <c r="E176" s="2">
        <v>1618.22</v>
      </c>
      <c r="F176" s="2">
        <v>12</v>
      </c>
      <c r="G176" s="2">
        <v>0.2</v>
      </c>
      <c r="H176" s="3">
        <v>45712</v>
      </c>
      <c r="I176" s="2">
        <v>582.55999999999995</v>
      </c>
      <c r="J176" s="5">
        <f>Sales_Data1[[#This Row],[Sales]]*Sales_Data1[[#This Row],[Quantity]]*(1-Sales_Data1[[#This Row],[Discount]])</f>
        <v>15534.912</v>
      </c>
    </row>
    <row r="177" spans="1:10" ht="16.5" hidden="1" customHeight="1" thickBot="1" x14ac:dyDescent="0.4">
      <c r="A177" s="4" t="s">
        <v>73</v>
      </c>
      <c r="B177" s="1" t="s">
        <v>53</v>
      </c>
      <c r="C177" s="1" t="s">
        <v>34</v>
      </c>
      <c r="D177" s="1" t="s">
        <v>12</v>
      </c>
      <c r="E177" s="2">
        <v>1014.43</v>
      </c>
      <c r="F177" s="2">
        <v>2</v>
      </c>
      <c r="G177" s="2">
        <v>0.15</v>
      </c>
      <c r="H177" s="3">
        <v>45713</v>
      </c>
      <c r="I177" s="2">
        <v>344.91</v>
      </c>
      <c r="J177" s="5">
        <f>Sales_Data1[[#This Row],[Sales]]*Sales_Data1[[#This Row],[Quantity]]*(1-Sales_Data1[[#This Row],[Discount]])</f>
        <v>1724.5309999999999</v>
      </c>
    </row>
    <row r="178" spans="1:10" ht="16.5" hidden="1" customHeight="1" thickBot="1" x14ac:dyDescent="0.4">
      <c r="A178" s="4" t="s">
        <v>75</v>
      </c>
      <c r="B178" s="1" t="s">
        <v>31</v>
      </c>
      <c r="C178" s="1" t="s">
        <v>34</v>
      </c>
      <c r="D178" s="1" t="s">
        <v>15</v>
      </c>
      <c r="E178" s="2">
        <v>826.97</v>
      </c>
      <c r="F178" s="2">
        <v>18</v>
      </c>
      <c r="G178" s="2">
        <v>0.2</v>
      </c>
      <c r="H178" s="3">
        <v>45715</v>
      </c>
      <c r="I178" s="2">
        <v>330.79</v>
      </c>
      <c r="J178" s="5">
        <f>Sales_Data1[[#This Row],[Sales]]*Sales_Data1[[#This Row],[Quantity]]*(1-Sales_Data1[[#This Row],[Discount]])</f>
        <v>11908.368000000002</v>
      </c>
    </row>
    <row r="179" spans="1:10" ht="16.5" hidden="1" customHeight="1" thickBot="1" x14ac:dyDescent="0.4">
      <c r="A179" s="4" t="s">
        <v>16</v>
      </c>
      <c r="B179" s="1" t="s">
        <v>31</v>
      </c>
      <c r="C179" s="1" t="s">
        <v>34</v>
      </c>
      <c r="D179" s="1" t="s">
        <v>15</v>
      </c>
      <c r="E179" s="2">
        <v>1022.23</v>
      </c>
      <c r="F179" s="2">
        <v>8</v>
      </c>
      <c r="G179" s="2">
        <v>0.1</v>
      </c>
      <c r="H179" s="3">
        <v>45717</v>
      </c>
      <c r="I179" s="2">
        <v>460</v>
      </c>
      <c r="J179" s="5">
        <f>Sales_Data1[[#This Row],[Sales]]*Sales_Data1[[#This Row],[Quantity]]*(1-Sales_Data1[[#This Row],[Discount]])</f>
        <v>7360.0560000000005</v>
      </c>
    </row>
    <row r="180" spans="1:10" ht="16.5" hidden="1" customHeight="1" thickBot="1" x14ac:dyDescent="0.4">
      <c r="A180" s="4" t="s">
        <v>72</v>
      </c>
      <c r="B180" s="1" t="s">
        <v>29</v>
      </c>
      <c r="C180" s="1" t="s">
        <v>18</v>
      </c>
      <c r="D180" s="1" t="s">
        <v>12</v>
      </c>
      <c r="E180" s="2">
        <v>1099.69</v>
      </c>
      <c r="F180" s="2">
        <v>6</v>
      </c>
      <c r="G180" s="2">
        <v>0</v>
      </c>
      <c r="H180" s="3">
        <v>45718</v>
      </c>
      <c r="I180" s="2">
        <v>439.88</v>
      </c>
      <c r="J180" s="5">
        <f>Sales_Data1[[#This Row],[Sales]]*Sales_Data1[[#This Row],[Quantity]]*(1-Sales_Data1[[#This Row],[Discount]])</f>
        <v>6598.14</v>
      </c>
    </row>
    <row r="181" spans="1:10" ht="16.5" hidden="1" customHeight="1" thickBot="1" x14ac:dyDescent="0.4">
      <c r="A181" s="4" t="s">
        <v>52</v>
      </c>
      <c r="B181" s="1" t="s">
        <v>64</v>
      </c>
      <c r="C181" s="1" t="s">
        <v>24</v>
      </c>
      <c r="D181" s="1" t="s">
        <v>12</v>
      </c>
      <c r="E181" s="2">
        <v>710.52</v>
      </c>
      <c r="F181" s="2">
        <v>8</v>
      </c>
      <c r="G181" s="2">
        <v>0.1</v>
      </c>
      <c r="H181" s="3">
        <v>45721</v>
      </c>
      <c r="I181" s="2">
        <v>255.79</v>
      </c>
      <c r="J181" s="5">
        <f>Sales_Data1[[#This Row],[Sales]]*Sales_Data1[[#This Row],[Quantity]]*(1-Sales_Data1[[#This Row],[Discount]])</f>
        <v>5115.7439999999997</v>
      </c>
    </row>
    <row r="182" spans="1:10" ht="16.5" hidden="1" customHeight="1" thickBot="1" x14ac:dyDescent="0.4">
      <c r="A182" s="4" t="s">
        <v>52</v>
      </c>
      <c r="B182" s="1" t="s">
        <v>59</v>
      </c>
      <c r="C182" s="1" t="s">
        <v>24</v>
      </c>
      <c r="D182" s="1" t="s">
        <v>12</v>
      </c>
      <c r="E182" s="2">
        <v>499.18</v>
      </c>
      <c r="F182" s="2">
        <v>15</v>
      </c>
      <c r="G182" s="2">
        <v>0.2</v>
      </c>
      <c r="H182" s="3">
        <v>45724</v>
      </c>
      <c r="I182" s="2">
        <v>159.74</v>
      </c>
      <c r="J182" s="5">
        <f>Sales_Data1[[#This Row],[Sales]]*Sales_Data1[[#This Row],[Quantity]]*(1-Sales_Data1[[#This Row],[Discount]])</f>
        <v>5990.16</v>
      </c>
    </row>
    <row r="183" spans="1:10" ht="16.5" hidden="1" customHeight="1" thickBot="1" x14ac:dyDescent="0.4">
      <c r="A183" s="4" t="s">
        <v>37</v>
      </c>
      <c r="B183" s="1" t="s">
        <v>38</v>
      </c>
      <c r="C183" s="1" t="s">
        <v>20</v>
      </c>
      <c r="D183" s="1" t="s">
        <v>12</v>
      </c>
      <c r="E183" s="2">
        <v>1064.19</v>
      </c>
      <c r="F183" s="2">
        <v>18</v>
      </c>
      <c r="G183" s="2">
        <v>0.05</v>
      </c>
      <c r="H183" s="3">
        <v>45725</v>
      </c>
      <c r="I183" s="2">
        <v>404.39</v>
      </c>
      <c r="J183" s="5">
        <f>Sales_Data1[[#This Row],[Sales]]*Sales_Data1[[#This Row],[Quantity]]*(1-Sales_Data1[[#This Row],[Discount]])</f>
        <v>18197.649000000001</v>
      </c>
    </row>
    <row r="184" spans="1:10" ht="16.5" hidden="1" customHeight="1" thickBot="1" x14ac:dyDescent="0.4">
      <c r="A184" s="4" t="s">
        <v>67</v>
      </c>
      <c r="B184" s="1" t="s">
        <v>38</v>
      </c>
      <c r="C184" s="1" t="s">
        <v>18</v>
      </c>
      <c r="D184" s="1" t="s">
        <v>39</v>
      </c>
      <c r="E184" s="2">
        <v>438.76</v>
      </c>
      <c r="F184" s="2">
        <v>18</v>
      </c>
      <c r="G184" s="2">
        <v>0.05</v>
      </c>
      <c r="H184" s="3">
        <v>45726</v>
      </c>
      <c r="I184" s="2">
        <v>187.57</v>
      </c>
      <c r="J184" s="5">
        <f>Sales_Data1[[#This Row],[Sales]]*Sales_Data1[[#This Row],[Quantity]]*(1-Sales_Data1[[#This Row],[Discount]])</f>
        <v>7502.7960000000003</v>
      </c>
    </row>
    <row r="185" spans="1:10" ht="16.5" hidden="1" customHeight="1" thickBot="1" x14ac:dyDescent="0.4">
      <c r="A185" s="4" t="s">
        <v>41</v>
      </c>
      <c r="B185" s="1" t="s">
        <v>55</v>
      </c>
      <c r="C185" s="1" t="s">
        <v>11</v>
      </c>
      <c r="D185" s="1" t="s">
        <v>15</v>
      </c>
      <c r="E185" s="2">
        <v>864.98</v>
      </c>
      <c r="F185" s="2">
        <v>2</v>
      </c>
      <c r="G185" s="2">
        <v>0.05</v>
      </c>
      <c r="H185" s="3">
        <v>45727</v>
      </c>
      <c r="I185" s="2">
        <v>410.87</v>
      </c>
      <c r="J185" s="5">
        <f>Sales_Data1[[#This Row],[Sales]]*Sales_Data1[[#This Row],[Quantity]]*(1-Sales_Data1[[#This Row],[Discount]])</f>
        <v>1643.462</v>
      </c>
    </row>
    <row r="186" spans="1:10" ht="16.5" hidden="1" customHeight="1" thickBot="1" x14ac:dyDescent="0.4">
      <c r="A186" s="4" t="s">
        <v>57</v>
      </c>
      <c r="B186" s="1" t="s">
        <v>55</v>
      </c>
      <c r="C186" s="1" t="s">
        <v>11</v>
      </c>
      <c r="D186" s="1" t="s">
        <v>27</v>
      </c>
      <c r="E186" s="2">
        <v>984.93</v>
      </c>
      <c r="F186" s="2">
        <v>14</v>
      </c>
      <c r="G186" s="2">
        <v>0.2</v>
      </c>
      <c r="H186" s="3">
        <v>45733</v>
      </c>
      <c r="I186" s="2">
        <v>275.77999999999997</v>
      </c>
      <c r="J186" s="5">
        <f>Sales_Data1[[#This Row],[Sales]]*Sales_Data1[[#This Row],[Quantity]]*(1-Sales_Data1[[#This Row],[Discount]])</f>
        <v>11031.216</v>
      </c>
    </row>
    <row r="187" spans="1:10" ht="16.5" customHeight="1" thickBot="1" x14ac:dyDescent="0.4">
      <c r="A187" s="4" t="s">
        <v>25</v>
      </c>
      <c r="B187" s="1" t="s">
        <v>55</v>
      </c>
      <c r="C187" s="1" t="s">
        <v>11</v>
      </c>
      <c r="D187" s="1" t="s">
        <v>15</v>
      </c>
      <c r="E187" s="2">
        <v>1493.49</v>
      </c>
      <c r="F187" s="2">
        <v>18</v>
      </c>
      <c r="G187" s="2">
        <v>0</v>
      </c>
      <c r="H187" s="3">
        <v>45734</v>
      </c>
      <c r="I187" s="2">
        <v>746.74</v>
      </c>
      <c r="J187" s="5">
        <f>Sales_Data1[[#This Row],[Sales]]*Sales_Data1[[#This Row],[Quantity]]*(1-Sales_Data1[[#This Row],[Discount]])</f>
        <v>26882.82</v>
      </c>
    </row>
    <row r="188" spans="1:10" ht="16.5" hidden="1" customHeight="1" thickBot="1" x14ac:dyDescent="0.4">
      <c r="A188" s="4" t="s">
        <v>32</v>
      </c>
      <c r="B188" s="1" t="s">
        <v>53</v>
      </c>
      <c r="C188" s="1" t="s">
        <v>20</v>
      </c>
      <c r="D188" s="1" t="s">
        <v>15</v>
      </c>
      <c r="E188" s="2">
        <v>689.43</v>
      </c>
      <c r="F188" s="2">
        <v>9</v>
      </c>
      <c r="G188" s="2">
        <v>0.1</v>
      </c>
      <c r="H188" s="3">
        <v>45736</v>
      </c>
      <c r="I188" s="2">
        <v>310.24</v>
      </c>
      <c r="J188" s="5">
        <f>Sales_Data1[[#This Row],[Sales]]*Sales_Data1[[#This Row],[Quantity]]*(1-Sales_Data1[[#This Row],[Discount]])</f>
        <v>5584.3829999999998</v>
      </c>
    </row>
    <row r="189" spans="1:10" ht="16.5" hidden="1" customHeight="1" thickBot="1" x14ac:dyDescent="0.4">
      <c r="A189" s="4" t="s">
        <v>40</v>
      </c>
      <c r="B189" s="1" t="s">
        <v>59</v>
      </c>
      <c r="C189" s="1" t="s">
        <v>20</v>
      </c>
      <c r="D189" s="1" t="s">
        <v>15</v>
      </c>
      <c r="E189" s="2">
        <v>682.24</v>
      </c>
      <c r="F189" s="2">
        <v>1</v>
      </c>
      <c r="G189" s="2">
        <v>0</v>
      </c>
      <c r="H189" s="3">
        <v>45738</v>
      </c>
      <c r="I189" s="2">
        <v>341.12</v>
      </c>
      <c r="J189" s="5">
        <f>Sales_Data1[[#This Row],[Sales]]*Sales_Data1[[#This Row],[Quantity]]*(1-Sales_Data1[[#This Row],[Discount]])</f>
        <v>682.24</v>
      </c>
    </row>
    <row r="190" spans="1:10" ht="16.5" hidden="1" customHeight="1" thickBot="1" x14ac:dyDescent="0.4">
      <c r="A190" s="4" t="s">
        <v>41</v>
      </c>
      <c r="B190" s="1" t="s">
        <v>26</v>
      </c>
      <c r="C190" s="1" t="s">
        <v>24</v>
      </c>
      <c r="D190" s="1" t="s">
        <v>21</v>
      </c>
      <c r="E190" s="2">
        <v>458.54</v>
      </c>
      <c r="F190" s="2">
        <v>15</v>
      </c>
      <c r="G190" s="2">
        <v>0.2</v>
      </c>
      <c r="H190" s="3">
        <v>45741</v>
      </c>
      <c r="I190" s="2">
        <v>91.71</v>
      </c>
      <c r="J190" s="5">
        <f>Sales_Data1[[#This Row],[Sales]]*Sales_Data1[[#This Row],[Quantity]]*(1-Sales_Data1[[#This Row],[Discount]])</f>
        <v>5502.4800000000005</v>
      </c>
    </row>
    <row r="191" spans="1:10" ht="16.5" hidden="1" customHeight="1" thickBot="1" x14ac:dyDescent="0.4">
      <c r="A191" s="4" t="s">
        <v>32</v>
      </c>
      <c r="B191" s="1" t="s">
        <v>26</v>
      </c>
      <c r="C191" s="1" t="s">
        <v>20</v>
      </c>
      <c r="D191" s="1" t="s">
        <v>27</v>
      </c>
      <c r="E191" s="2">
        <v>1184.25</v>
      </c>
      <c r="F191" s="2">
        <v>11</v>
      </c>
      <c r="G191" s="2">
        <v>0.2</v>
      </c>
      <c r="H191" s="3">
        <v>45742</v>
      </c>
      <c r="I191" s="2">
        <v>331.59</v>
      </c>
      <c r="J191" s="5">
        <f>Sales_Data1[[#This Row],[Sales]]*Sales_Data1[[#This Row],[Quantity]]*(1-Sales_Data1[[#This Row],[Discount]])</f>
        <v>10421.400000000001</v>
      </c>
    </row>
    <row r="192" spans="1:10" ht="16.5" hidden="1" customHeight="1" thickBot="1" x14ac:dyDescent="0.4">
      <c r="A192" s="4" t="s">
        <v>25</v>
      </c>
      <c r="B192" s="1" t="s">
        <v>10</v>
      </c>
      <c r="C192" s="1" t="s">
        <v>20</v>
      </c>
      <c r="D192" s="1" t="s">
        <v>15</v>
      </c>
      <c r="E192" s="2">
        <v>762.14</v>
      </c>
      <c r="F192" s="2">
        <v>9</v>
      </c>
      <c r="G192" s="2">
        <v>0</v>
      </c>
      <c r="H192" s="3">
        <v>45743</v>
      </c>
      <c r="I192" s="2">
        <v>381.07</v>
      </c>
      <c r="J192" s="5">
        <f>Sales_Data1[[#This Row],[Sales]]*Sales_Data1[[#This Row],[Quantity]]*(1-Sales_Data1[[#This Row],[Discount]])</f>
        <v>6859.26</v>
      </c>
    </row>
    <row r="193" spans="1:10" ht="16.5" hidden="1" customHeight="1" thickBot="1" x14ac:dyDescent="0.4">
      <c r="A193" s="4" t="s">
        <v>22</v>
      </c>
      <c r="B193" s="1" t="s">
        <v>53</v>
      </c>
      <c r="C193" s="1" t="s">
        <v>24</v>
      </c>
      <c r="D193" s="1" t="s">
        <v>12</v>
      </c>
      <c r="E193" s="2">
        <v>750.71</v>
      </c>
      <c r="F193" s="2">
        <v>10</v>
      </c>
      <c r="G193" s="2">
        <v>0.15</v>
      </c>
      <c r="H193" s="3">
        <v>45743</v>
      </c>
      <c r="I193" s="2">
        <v>255.24</v>
      </c>
      <c r="J193" s="5">
        <f>Sales_Data1[[#This Row],[Sales]]*Sales_Data1[[#This Row],[Quantity]]*(1-Sales_Data1[[#This Row],[Discount]])</f>
        <v>6381.0349999999999</v>
      </c>
    </row>
    <row r="194" spans="1:10" ht="16.5" hidden="1" customHeight="1" thickBot="1" x14ac:dyDescent="0.4">
      <c r="A194" s="4" t="s">
        <v>75</v>
      </c>
      <c r="B194" s="1" t="s">
        <v>71</v>
      </c>
      <c r="C194" s="1" t="s">
        <v>34</v>
      </c>
      <c r="D194" s="1" t="s">
        <v>15</v>
      </c>
      <c r="E194" s="2">
        <v>1456.94</v>
      </c>
      <c r="F194" s="2">
        <v>14</v>
      </c>
      <c r="G194" s="2">
        <v>0.05</v>
      </c>
      <c r="H194" s="3">
        <v>45745</v>
      </c>
      <c r="I194" s="2">
        <v>692.05</v>
      </c>
      <c r="J194" s="5">
        <f>Sales_Data1[[#This Row],[Sales]]*Sales_Data1[[#This Row],[Quantity]]*(1-Sales_Data1[[#This Row],[Discount]])</f>
        <v>19377.302</v>
      </c>
    </row>
    <row r="195" spans="1:10" ht="16.5" hidden="1" customHeight="1" thickBot="1" x14ac:dyDescent="0.4">
      <c r="A195" s="4" t="s">
        <v>44</v>
      </c>
      <c r="B195" s="1" t="s">
        <v>61</v>
      </c>
      <c r="C195" s="1" t="s">
        <v>18</v>
      </c>
      <c r="D195" s="1" t="s">
        <v>27</v>
      </c>
      <c r="E195" s="2">
        <v>1093.3800000000001</v>
      </c>
      <c r="F195" s="2">
        <v>17</v>
      </c>
      <c r="G195" s="2">
        <v>0.1</v>
      </c>
      <c r="H195" s="3">
        <v>45745</v>
      </c>
      <c r="I195" s="2">
        <v>344.41</v>
      </c>
      <c r="J195" s="5">
        <f>Sales_Data1[[#This Row],[Sales]]*Sales_Data1[[#This Row],[Quantity]]*(1-Sales_Data1[[#This Row],[Discount]])</f>
        <v>16728.714000000004</v>
      </c>
    </row>
    <row r="196" spans="1:10" ht="16.5" hidden="1" customHeight="1" thickBot="1" x14ac:dyDescent="0.4">
      <c r="A196" s="4" t="s">
        <v>37</v>
      </c>
      <c r="B196" s="1" t="s">
        <v>43</v>
      </c>
      <c r="C196" s="1" t="s">
        <v>11</v>
      </c>
      <c r="D196" s="1" t="s">
        <v>15</v>
      </c>
      <c r="E196" s="2">
        <v>934.27</v>
      </c>
      <c r="F196" s="2">
        <v>8</v>
      </c>
      <c r="G196" s="2">
        <v>0.15</v>
      </c>
      <c r="H196" s="3">
        <v>45746</v>
      </c>
      <c r="I196" s="2">
        <v>397.06</v>
      </c>
      <c r="J196" s="5">
        <f>Sales_Data1[[#This Row],[Sales]]*Sales_Data1[[#This Row],[Quantity]]*(1-Sales_Data1[[#This Row],[Discount]])</f>
        <v>6353.0360000000001</v>
      </c>
    </row>
    <row r="197" spans="1:10" ht="16.5" hidden="1" customHeight="1" thickBot="1" x14ac:dyDescent="0.4">
      <c r="A197" s="4" t="s">
        <v>70</v>
      </c>
      <c r="B197" s="1" t="s">
        <v>36</v>
      </c>
      <c r="C197" s="1" t="s">
        <v>34</v>
      </c>
      <c r="D197" s="1" t="s">
        <v>15</v>
      </c>
      <c r="E197" s="2">
        <v>1465.35</v>
      </c>
      <c r="F197" s="2">
        <v>8</v>
      </c>
      <c r="G197" s="2">
        <v>0.2</v>
      </c>
      <c r="H197" s="3">
        <v>45746</v>
      </c>
      <c r="I197" s="2">
        <v>586.14</v>
      </c>
      <c r="J197" s="5">
        <f>Sales_Data1[[#This Row],[Sales]]*Sales_Data1[[#This Row],[Quantity]]*(1-Sales_Data1[[#This Row],[Discount]])</f>
        <v>9378.24</v>
      </c>
    </row>
    <row r="198" spans="1:10" ht="16.5" hidden="1" customHeight="1" thickBot="1" x14ac:dyDescent="0.4">
      <c r="A198" s="4" t="s">
        <v>52</v>
      </c>
      <c r="B198" s="1" t="s">
        <v>14</v>
      </c>
      <c r="C198" s="1" t="s">
        <v>20</v>
      </c>
      <c r="D198" s="1" t="s">
        <v>39</v>
      </c>
      <c r="E198" s="2">
        <v>740.8</v>
      </c>
      <c r="F198" s="2">
        <v>3</v>
      </c>
      <c r="G198" s="2">
        <v>0</v>
      </c>
      <c r="H198" s="3">
        <v>45749</v>
      </c>
      <c r="I198" s="2">
        <v>333.36</v>
      </c>
      <c r="J198" s="5">
        <f>Sales_Data1[[#This Row],[Sales]]*Sales_Data1[[#This Row],[Quantity]]*(1-Sales_Data1[[#This Row],[Discount]])</f>
        <v>2222.3999999999996</v>
      </c>
    </row>
    <row r="199" spans="1:10" ht="16.5" hidden="1" customHeight="1" thickBot="1" x14ac:dyDescent="0.4">
      <c r="A199" s="4" t="s">
        <v>58</v>
      </c>
      <c r="B199" s="1" t="s">
        <v>43</v>
      </c>
      <c r="C199" s="1" t="s">
        <v>11</v>
      </c>
      <c r="D199" s="1" t="s">
        <v>39</v>
      </c>
      <c r="E199" s="2">
        <v>545.44000000000005</v>
      </c>
      <c r="F199" s="2">
        <v>17</v>
      </c>
      <c r="G199" s="2">
        <v>0</v>
      </c>
      <c r="H199" s="3">
        <v>45752</v>
      </c>
      <c r="I199" s="2">
        <v>245.45</v>
      </c>
      <c r="J199" s="5">
        <f>Sales_Data1[[#This Row],[Sales]]*Sales_Data1[[#This Row],[Quantity]]*(1-Sales_Data1[[#This Row],[Discount]])</f>
        <v>9272.4800000000014</v>
      </c>
    </row>
    <row r="200" spans="1:10" ht="16.5" hidden="1" customHeight="1" thickBot="1" x14ac:dyDescent="0.4">
      <c r="A200" s="4" t="s">
        <v>35</v>
      </c>
      <c r="B200" s="1" t="s">
        <v>36</v>
      </c>
      <c r="C200" s="1" t="s">
        <v>18</v>
      </c>
      <c r="D200" s="1" t="s">
        <v>12</v>
      </c>
      <c r="E200" s="2">
        <v>997.61</v>
      </c>
      <c r="F200" s="2">
        <v>8</v>
      </c>
      <c r="G200" s="2">
        <v>0.05</v>
      </c>
      <c r="H200" s="3">
        <v>45752</v>
      </c>
      <c r="I200" s="2">
        <v>379.09</v>
      </c>
      <c r="J200" s="5">
        <f>Sales_Data1[[#This Row],[Sales]]*Sales_Data1[[#This Row],[Quantity]]*(1-Sales_Data1[[#This Row],[Discount]])</f>
        <v>7581.8359999999993</v>
      </c>
    </row>
    <row r="201" spans="1:10" ht="16.5" hidden="1" customHeight="1" thickBot="1" x14ac:dyDescent="0.4">
      <c r="A201" s="4" t="s">
        <v>60</v>
      </c>
      <c r="B201" s="1" t="s">
        <v>36</v>
      </c>
      <c r="C201" s="1" t="s">
        <v>20</v>
      </c>
      <c r="D201" s="1" t="s">
        <v>15</v>
      </c>
      <c r="E201" s="2">
        <v>928.32</v>
      </c>
      <c r="F201" s="2">
        <v>2</v>
      </c>
      <c r="G201" s="2">
        <v>0.05</v>
      </c>
      <c r="H201" s="3">
        <v>45754</v>
      </c>
      <c r="I201" s="2">
        <v>440.95</v>
      </c>
      <c r="J201" s="13">
        <f>Sales_Data1[[#This Row],[Sales]]*Sales_Data1[[#This Row],[Quantity]]*(1-Sales_Data1[[#This Row],[Discount]])</f>
        <v>1763.808</v>
      </c>
    </row>
    <row r="202" spans="1:10" ht="15" thickBot="1" x14ac:dyDescent="0.4">
      <c r="J202" s="1"/>
    </row>
    <row r="203" spans="1:10" ht="15" thickBot="1" x14ac:dyDescent="0.4">
      <c r="J203" s="1"/>
    </row>
    <row r="204" spans="1:10" ht="15" thickBot="1" x14ac:dyDescent="0.4">
      <c r="B204" s="49" t="s">
        <v>136</v>
      </c>
      <c r="C204" s="49"/>
      <c r="D204" s="49"/>
      <c r="J204" s="1"/>
    </row>
    <row r="205" spans="1:10" ht="15" thickBot="1" x14ac:dyDescent="0.4">
      <c r="B205" s="48" t="s">
        <v>133</v>
      </c>
      <c r="C205" s="48" t="s">
        <v>134</v>
      </c>
      <c r="D205" s="48" t="s">
        <v>135</v>
      </c>
      <c r="J205" s="1"/>
    </row>
    <row r="206" spans="1:10" ht="15" thickBot="1" x14ac:dyDescent="0.4">
      <c r="B206" s="48" t="str">
        <f>INDEX(A:A,MATCH(MAX(J:J),J:J,0))</f>
        <v>CUST004</v>
      </c>
      <c r="C206" s="48" t="str">
        <f>INDEX(B:B,MATCH(MAX(J:J),J:J,0))</f>
        <v>Sarah Davis</v>
      </c>
      <c r="D206" s="48">
        <f>MAX(J:J)</f>
        <v>27435.62</v>
      </c>
      <c r="J206" s="1"/>
    </row>
    <row r="207" spans="1:10" ht="15" thickBot="1" x14ac:dyDescent="0.4">
      <c r="J207" s="1"/>
    </row>
    <row r="208" spans="1:10" ht="15" thickBot="1" x14ac:dyDescent="0.4">
      <c r="J208" s="1"/>
    </row>
    <row r="209" spans="10:10" ht="15" thickBot="1" x14ac:dyDescent="0.4">
      <c r="J209" s="1"/>
    </row>
    <row r="210" spans="10:10" ht="15" thickBot="1" x14ac:dyDescent="0.4">
      <c r="J210" s="1"/>
    </row>
    <row r="211" spans="10:10" ht="15" thickBot="1" x14ac:dyDescent="0.4">
      <c r="J211" s="1"/>
    </row>
    <row r="212" spans="10:10" ht="15" thickBot="1" x14ac:dyDescent="0.4">
      <c r="J212" s="1"/>
    </row>
    <row r="213" spans="10:10" ht="15" thickBot="1" x14ac:dyDescent="0.4">
      <c r="J213" s="1"/>
    </row>
    <row r="214" spans="10:10" ht="15" thickBot="1" x14ac:dyDescent="0.4">
      <c r="J214" s="1"/>
    </row>
    <row r="215" spans="10:10" ht="15" thickBot="1" x14ac:dyDescent="0.4">
      <c r="J215" s="1"/>
    </row>
    <row r="216" spans="10:10" ht="15" thickBot="1" x14ac:dyDescent="0.4">
      <c r="J216" s="1"/>
    </row>
    <row r="217" spans="10:10" ht="15" thickBot="1" x14ac:dyDescent="0.4">
      <c r="J217" s="1"/>
    </row>
    <row r="218" spans="10:10" ht="15" thickBot="1" x14ac:dyDescent="0.4">
      <c r="J218" s="1"/>
    </row>
    <row r="219" spans="10:10" ht="15" thickBot="1" x14ac:dyDescent="0.4">
      <c r="J219" s="1"/>
    </row>
    <row r="220" spans="10:10" ht="15" thickBot="1" x14ac:dyDescent="0.4">
      <c r="J220" s="1"/>
    </row>
    <row r="221" spans="10:10" ht="15" thickBot="1" x14ac:dyDescent="0.4">
      <c r="J221" s="1"/>
    </row>
    <row r="222" spans="10:10" ht="15" thickBot="1" x14ac:dyDescent="0.4">
      <c r="J222" s="1"/>
    </row>
    <row r="223" spans="10:10" ht="15" thickBot="1" x14ac:dyDescent="0.4">
      <c r="J223" s="1"/>
    </row>
    <row r="224" spans="10:10" ht="15" thickBot="1" x14ac:dyDescent="0.4">
      <c r="J224" s="1"/>
    </row>
    <row r="225" spans="10:10" ht="15" thickBot="1" x14ac:dyDescent="0.4">
      <c r="J225" s="1"/>
    </row>
    <row r="226" spans="10:10" ht="15" thickBot="1" x14ac:dyDescent="0.4">
      <c r="J226" s="1"/>
    </row>
    <row r="227" spans="10:10" ht="15" thickBot="1" x14ac:dyDescent="0.4">
      <c r="J227" s="1"/>
    </row>
    <row r="228" spans="10:10" ht="15" thickBot="1" x14ac:dyDescent="0.4">
      <c r="J228" s="1"/>
    </row>
    <row r="229" spans="10:10" ht="15" thickBot="1" x14ac:dyDescent="0.4">
      <c r="J229" s="1"/>
    </row>
    <row r="230" spans="10:10" ht="15" thickBot="1" x14ac:dyDescent="0.4">
      <c r="J230" s="1"/>
    </row>
    <row r="231" spans="10:10" ht="15" thickBot="1" x14ac:dyDescent="0.4">
      <c r="J231" s="1"/>
    </row>
    <row r="232" spans="10:10" ht="15" thickBot="1" x14ac:dyDescent="0.4">
      <c r="J232" s="1"/>
    </row>
    <row r="233" spans="10:10" ht="15" thickBot="1" x14ac:dyDescent="0.4">
      <c r="J233" s="1"/>
    </row>
    <row r="234" spans="10:10" ht="15" thickBot="1" x14ac:dyDescent="0.4">
      <c r="J234" s="1"/>
    </row>
    <row r="235" spans="10:10" ht="15" thickBot="1" x14ac:dyDescent="0.4">
      <c r="J235" s="1"/>
    </row>
    <row r="236" spans="10:10" ht="15" thickBot="1" x14ac:dyDescent="0.4">
      <c r="J236" s="1"/>
    </row>
    <row r="237" spans="10:10" ht="15" thickBot="1" x14ac:dyDescent="0.4">
      <c r="J237" s="1"/>
    </row>
    <row r="238" spans="10:10" ht="15" thickBot="1" x14ac:dyDescent="0.4">
      <c r="J238" s="1"/>
    </row>
    <row r="239" spans="10:10" ht="15" thickBot="1" x14ac:dyDescent="0.4">
      <c r="J239" s="1"/>
    </row>
    <row r="240" spans="10:10" ht="15" thickBot="1" x14ac:dyDescent="0.4">
      <c r="J240" s="1"/>
    </row>
    <row r="241" spans="10:10" ht="15" thickBot="1" x14ac:dyDescent="0.4">
      <c r="J241" s="1"/>
    </row>
    <row r="242" spans="10:10" ht="15" thickBot="1" x14ac:dyDescent="0.4">
      <c r="J242" s="1"/>
    </row>
    <row r="243" spans="10:10" ht="15" thickBot="1" x14ac:dyDescent="0.4">
      <c r="J243" s="1"/>
    </row>
    <row r="244" spans="10:10" ht="15" thickBot="1" x14ac:dyDescent="0.4">
      <c r="J244" s="1"/>
    </row>
    <row r="245" spans="10:10" ht="15" thickBot="1" x14ac:dyDescent="0.4">
      <c r="J245" s="1"/>
    </row>
    <row r="246" spans="10:10" ht="15" thickBot="1" x14ac:dyDescent="0.4">
      <c r="J246" s="1"/>
    </row>
    <row r="247" spans="10:10" ht="15" thickBot="1" x14ac:dyDescent="0.4">
      <c r="J247" s="1"/>
    </row>
    <row r="248" spans="10:10" ht="15" thickBot="1" x14ac:dyDescent="0.4">
      <c r="J248" s="1"/>
    </row>
    <row r="249" spans="10:10" ht="15" thickBot="1" x14ac:dyDescent="0.4">
      <c r="J249" s="1"/>
    </row>
    <row r="250" spans="10:10" ht="15" thickBot="1" x14ac:dyDescent="0.4">
      <c r="J250" s="1"/>
    </row>
    <row r="251" spans="10:10" ht="15" thickBot="1" x14ac:dyDescent="0.4">
      <c r="J251" s="1"/>
    </row>
    <row r="252" spans="10:10" ht="15" thickBot="1" x14ac:dyDescent="0.4">
      <c r="J252" s="1"/>
    </row>
    <row r="253" spans="10:10" ht="15" thickBot="1" x14ac:dyDescent="0.4">
      <c r="J253" s="1"/>
    </row>
    <row r="254" spans="10:10" ht="15" thickBot="1" x14ac:dyDescent="0.4">
      <c r="J254" s="1"/>
    </row>
    <row r="255" spans="10:10" ht="15" thickBot="1" x14ac:dyDescent="0.4">
      <c r="J255" s="1"/>
    </row>
    <row r="256" spans="10:10" ht="15" thickBot="1" x14ac:dyDescent="0.4">
      <c r="J256" s="1"/>
    </row>
    <row r="257" spans="10:10" ht="15" thickBot="1" x14ac:dyDescent="0.4">
      <c r="J257" s="1"/>
    </row>
    <row r="258" spans="10:10" ht="15" thickBot="1" x14ac:dyDescent="0.4">
      <c r="J258" s="1"/>
    </row>
    <row r="259" spans="10:10" ht="15" thickBot="1" x14ac:dyDescent="0.4">
      <c r="J259" s="1"/>
    </row>
    <row r="260" spans="10:10" ht="15" thickBot="1" x14ac:dyDescent="0.4">
      <c r="J260" s="1"/>
    </row>
    <row r="261" spans="10:10" ht="15" thickBot="1" x14ac:dyDescent="0.4">
      <c r="J261" s="1"/>
    </row>
    <row r="262" spans="10:10" ht="15" thickBot="1" x14ac:dyDescent="0.4">
      <c r="J262" s="1"/>
    </row>
    <row r="263" spans="10:10" ht="15" thickBot="1" x14ac:dyDescent="0.4">
      <c r="J263" s="1"/>
    </row>
    <row r="264" spans="10:10" ht="15" thickBot="1" x14ac:dyDescent="0.4">
      <c r="J264" s="1"/>
    </row>
    <row r="265" spans="10:10" ht="15" thickBot="1" x14ac:dyDescent="0.4">
      <c r="J265" s="1"/>
    </row>
    <row r="266" spans="10:10" ht="15" thickBot="1" x14ac:dyDescent="0.4">
      <c r="J266" s="1"/>
    </row>
    <row r="267" spans="10:10" ht="15" thickBot="1" x14ac:dyDescent="0.4">
      <c r="J267" s="1"/>
    </row>
    <row r="268" spans="10:10" ht="15" thickBot="1" x14ac:dyDescent="0.4">
      <c r="J268" s="1"/>
    </row>
    <row r="269" spans="10:10" ht="15" thickBot="1" x14ac:dyDescent="0.4">
      <c r="J269" s="1"/>
    </row>
    <row r="270" spans="10:10" ht="15" thickBot="1" x14ac:dyDescent="0.4">
      <c r="J270" s="1"/>
    </row>
    <row r="271" spans="10:10" ht="15" thickBot="1" x14ac:dyDescent="0.4">
      <c r="J271" s="1"/>
    </row>
    <row r="272" spans="10:10" ht="15" thickBot="1" x14ac:dyDescent="0.4">
      <c r="J272" s="1"/>
    </row>
    <row r="273" spans="10:10" ht="15" thickBot="1" x14ac:dyDescent="0.4">
      <c r="J273" s="1"/>
    </row>
    <row r="274" spans="10:10" ht="15" thickBot="1" x14ac:dyDescent="0.4">
      <c r="J274" s="1"/>
    </row>
    <row r="275" spans="10:10" ht="15" thickBot="1" x14ac:dyDescent="0.4">
      <c r="J275" s="1"/>
    </row>
    <row r="276" spans="10:10" ht="15" thickBot="1" x14ac:dyDescent="0.4">
      <c r="J276" s="1"/>
    </row>
    <row r="277" spans="10:10" ht="15" thickBot="1" x14ac:dyDescent="0.4">
      <c r="J277" s="1"/>
    </row>
    <row r="278" spans="10:10" ht="15" thickBot="1" x14ac:dyDescent="0.4">
      <c r="J278" s="1"/>
    </row>
    <row r="279" spans="10:10" ht="15" thickBot="1" x14ac:dyDescent="0.4">
      <c r="J279" s="1"/>
    </row>
    <row r="280" spans="10:10" ht="15" thickBot="1" x14ac:dyDescent="0.4">
      <c r="J280" s="1"/>
    </row>
    <row r="281" spans="10:10" ht="15" thickBot="1" x14ac:dyDescent="0.4">
      <c r="J281" s="1"/>
    </row>
    <row r="282" spans="10:10" ht="15" thickBot="1" x14ac:dyDescent="0.4">
      <c r="J282" s="1"/>
    </row>
    <row r="283" spans="10:10" ht="15" thickBot="1" x14ac:dyDescent="0.4">
      <c r="J283" s="1"/>
    </row>
    <row r="284" spans="10:10" ht="15" thickBot="1" x14ac:dyDescent="0.4">
      <c r="J284" s="1"/>
    </row>
    <row r="285" spans="10:10" ht="15" thickBot="1" x14ac:dyDescent="0.4">
      <c r="J285" s="1"/>
    </row>
    <row r="286" spans="10:10" ht="15" thickBot="1" x14ac:dyDescent="0.4">
      <c r="J286" s="1"/>
    </row>
    <row r="287" spans="10:10" ht="15" thickBot="1" x14ac:dyDescent="0.4">
      <c r="J287" s="1"/>
    </row>
    <row r="288" spans="10:10" ht="15" thickBot="1" x14ac:dyDescent="0.4">
      <c r="J288" s="1"/>
    </row>
    <row r="289" spans="10:10" ht="15" thickBot="1" x14ac:dyDescent="0.4">
      <c r="J289" s="1"/>
    </row>
    <row r="290" spans="10:10" ht="15" thickBot="1" x14ac:dyDescent="0.4">
      <c r="J290" s="1"/>
    </row>
    <row r="291" spans="10:10" ht="15" thickBot="1" x14ac:dyDescent="0.4">
      <c r="J291" s="1"/>
    </row>
    <row r="292" spans="10:10" ht="15" thickBot="1" x14ac:dyDescent="0.4">
      <c r="J292" s="1"/>
    </row>
    <row r="293" spans="10:10" ht="15" thickBot="1" x14ac:dyDescent="0.4">
      <c r="J293" s="1"/>
    </row>
    <row r="294" spans="10:10" ht="15" thickBot="1" x14ac:dyDescent="0.4">
      <c r="J294" s="1"/>
    </row>
    <row r="295" spans="10:10" ht="15" thickBot="1" x14ac:dyDescent="0.4">
      <c r="J295" s="1"/>
    </row>
    <row r="296" spans="10:10" ht="15" thickBot="1" x14ac:dyDescent="0.4">
      <c r="J296" s="1"/>
    </row>
    <row r="297" spans="10:10" ht="15" thickBot="1" x14ac:dyDescent="0.4">
      <c r="J297" s="1"/>
    </row>
    <row r="298" spans="10:10" ht="15" thickBot="1" x14ac:dyDescent="0.4">
      <c r="J298" s="1"/>
    </row>
    <row r="299" spans="10:10" ht="15" thickBot="1" x14ac:dyDescent="0.4">
      <c r="J299" s="1"/>
    </row>
    <row r="300" spans="10:10" ht="15" thickBot="1" x14ac:dyDescent="0.4">
      <c r="J300" s="1"/>
    </row>
    <row r="301" spans="10:10" ht="15" thickBot="1" x14ac:dyDescent="0.4">
      <c r="J301" s="1"/>
    </row>
    <row r="302" spans="10:10" ht="15" thickBot="1" x14ac:dyDescent="0.4">
      <c r="J302" s="1"/>
    </row>
    <row r="303" spans="10:10" ht="15" thickBot="1" x14ac:dyDescent="0.4">
      <c r="J303" s="1"/>
    </row>
    <row r="304" spans="10:10" ht="15" thickBot="1" x14ac:dyDescent="0.4">
      <c r="J304" s="1"/>
    </row>
    <row r="305" spans="10:10" ht="15" thickBot="1" x14ac:dyDescent="0.4">
      <c r="J305" s="1"/>
    </row>
    <row r="306" spans="10:10" ht="15" thickBot="1" x14ac:dyDescent="0.4">
      <c r="J306" s="1"/>
    </row>
    <row r="307" spans="10:10" ht="15" thickBot="1" x14ac:dyDescent="0.4">
      <c r="J307" s="1"/>
    </row>
    <row r="308" spans="10:10" ht="15" thickBot="1" x14ac:dyDescent="0.4">
      <c r="J308" s="1"/>
    </row>
    <row r="309" spans="10:10" ht="15" thickBot="1" x14ac:dyDescent="0.4">
      <c r="J309" s="1"/>
    </row>
    <row r="310" spans="10:10" ht="15" thickBot="1" x14ac:dyDescent="0.4">
      <c r="J310" s="1"/>
    </row>
    <row r="311" spans="10:10" ht="15" thickBot="1" x14ac:dyDescent="0.4">
      <c r="J311" s="1"/>
    </row>
    <row r="312" spans="10:10" ht="15" thickBot="1" x14ac:dyDescent="0.4">
      <c r="J312" s="1"/>
    </row>
    <row r="313" spans="10:10" ht="15" thickBot="1" x14ac:dyDescent="0.4">
      <c r="J313" s="1"/>
    </row>
    <row r="314" spans="10:10" ht="15" thickBot="1" x14ac:dyDescent="0.4">
      <c r="J314" s="1"/>
    </row>
    <row r="315" spans="10:10" ht="15" thickBot="1" x14ac:dyDescent="0.4">
      <c r="J315" s="1"/>
    </row>
    <row r="316" spans="10:10" ht="15" thickBot="1" x14ac:dyDescent="0.4">
      <c r="J316" s="1"/>
    </row>
    <row r="317" spans="10:10" ht="15" thickBot="1" x14ac:dyDescent="0.4">
      <c r="J317" s="1"/>
    </row>
    <row r="318" spans="10:10" ht="15" thickBot="1" x14ac:dyDescent="0.4">
      <c r="J318" s="1"/>
    </row>
    <row r="319" spans="10:10" ht="15" thickBot="1" x14ac:dyDescent="0.4">
      <c r="J319" s="1"/>
    </row>
    <row r="320" spans="10:10" ht="15" thickBot="1" x14ac:dyDescent="0.4">
      <c r="J320" s="1"/>
    </row>
    <row r="321" spans="10:10" ht="15" thickBot="1" x14ac:dyDescent="0.4">
      <c r="J321" s="1"/>
    </row>
    <row r="322" spans="10:10" ht="15" thickBot="1" x14ac:dyDescent="0.4">
      <c r="J322" s="1"/>
    </row>
    <row r="323" spans="10:10" ht="15" thickBot="1" x14ac:dyDescent="0.4">
      <c r="J323" s="1"/>
    </row>
    <row r="324" spans="10:10" ht="15" thickBot="1" x14ac:dyDescent="0.4">
      <c r="J324" s="1"/>
    </row>
    <row r="325" spans="10:10" ht="15" thickBot="1" x14ac:dyDescent="0.4">
      <c r="J325" s="1"/>
    </row>
    <row r="326" spans="10:10" ht="15" thickBot="1" x14ac:dyDescent="0.4">
      <c r="J326" s="1"/>
    </row>
    <row r="327" spans="10:10" ht="15" thickBot="1" x14ac:dyDescent="0.4">
      <c r="J327" s="1"/>
    </row>
    <row r="328" spans="10:10" ht="15" thickBot="1" x14ac:dyDescent="0.4">
      <c r="J328" s="1"/>
    </row>
    <row r="329" spans="10:10" ht="15" thickBot="1" x14ac:dyDescent="0.4">
      <c r="J329" s="1"/>
    </row>
    <row r="330" spans="10:10" ht="15" thickBot="1" x14ac:dyDescent="0.4">
      <c r="J330" s="1"/>
    </row>
    <row r="331" spans="10:10" ht="15" thickBot="1" x14ac:dyDescent="0.4">
      <c r="J331" s="1"/>
    </row>
    <row r="332" spans="10:10" ht="15" thickBot="1" x14ac:dyDescent="0.4">
      <c r="J332" s="1"/>
    </row>
    <row r="333" spans="10:10" ht="15" thickBot="1" x14ac:dyDescent="0.4">
      <c r="J333" s="1"/>
    </row>
    <row r="334" spans="10:10" ht="15" thickBot="1" x14ac:dyDescent="0.4">
      <c r="J334" s="1"/>
    </row>
    <row r="335" spans="10:10" ht="15" thickBot="1" x14ac:dyDescent="0.4">
      <c r="J335" s="1"/>
    </row>
    <row r="336" spans="10:10" ht="15" thickBot="1" x14ac:dyDescent="0.4">
      <c r="J336" s="1"/>
    </row>
    <row r="337" spans="10:10" ht="15" thickBot="1" x14ac:dyDescent="0.4">
      <c r="J337" s="1"/>
    </row>
    <row r="338" spans="10:10" ht="15" thickBot="1" x14ac:dyDescent="0.4">
      <c r="J338" s="1"/>
    </row>
    <row r="339" spans="10:10" ht="15" thickBot="1" x14ac:dyDescent="0.4">
      <c r="J339" s="1"/>
    </row>
    <row r="340" spans="10:10" ht="15" thickBot="1" x14ac:dyDescent="0.4">
      <c r="J340" s="1"/>
    </row>
    <row r="341" spans="10:10" ht="15" thickBot="1" x14ac:dyDescent="0.4">
      <c r="J341" s="1"/>
    </row>
    <row r="342" spans="10:10" ht="15" thickBot="1" x14ac:dyDescent="0.4">
      <c r="J342" s="1"/>
    </row>
    <row r="343" spans="10:10" ht="15" thickBot="1" x14ac:dyDescent="0.4">
      <c r="J343" s="1"/>
    </row>
    <row r="344" spans="10:10" ht="15" thickBot="1" x14ac:dyDescent="0.4">
      <c r="J344" s="1"/>
    </row>
    <row r="345" spans="10:10" ht="15" thickBot="1" x14ac:dyDescent="0.4">
      <c r="J345" s="1"/>
    </row>
    <row r="346" spans="10:10" ht="15" thickBot="1" x14ac:dyDescent="0.4">
      <c r="J346" s="1"/>
    </row>
    <row r="347" spans="10:10" ht="15" thickBot="1" x14ac:dyDescent="0.4">
      <c r="J347" s="1"/>
    </row>
    <row r="348" spans="10:10" ht="15" thickBot="1" x14ac:dyDescent="0.4">
      <c r="J348" s="1"/>
    </row>
    <row r="349" spans="10:10" ht="15" thickBot="1" x14ac:dyDescent="0.4">
      <c r="J349" s="1"/>
    </row>
    <row r="350" spans="10:10" ht="15" thickBot="1" x14ac:dyDescent="0.4">
      <c r="J350" s="1"/>
    </row>
    <row r="351" spans="10:10" ht="15" thickBot="1" x14ac:dyDescent="0.4">
      <c r="J351" s="1"/>
    </row>
    <row r="352" spans="10:10" ht="15" thickBot="1" x14ac:dyDescent="0.4">
      <c r="J352" s="1"/>
    </row>
    <row r="353" spans="10:10" ht="15" thickBot="1" x14ac:dyDescent="0.4">
      <c r="J353" s="1"/>
    </row>
    <row r="354" spans="10:10" ht="15" thickBot="1" x14ac:dyDescent="0.4">
      <c r="J354" s="1"/>
    </row>
    <row r="355" spans="10:10" ht="15" thickBot="1" x14ac:dyDescent="0.4">
      <c r="J355" s="1"/>
    </row>
    <row r="356" spans="10:10" ht="15" thickBot="1" x14ac:dyDescent="0.4">
      <c r="J356" s="1"/>
    </row>
    <row r="357" spans="10:10" ht="15" thickBot="1" x14ac:dyDescent="0.4">
      <c r="J357" s="1"/>
    </row>
    <row r="358" spans="10:10" ht="15" thickBot="1" x14ac:dyDescent="0.4">
      <c r="J358" s="1"/>
    </row>
    <row r="359" spans="10:10" ht="15" thickBot="1" x14ac:dyDescent="0.4">
      <c r="J359" s="1"/>
    </row>
    <row r="360" spans="10:10" ht="15" thickBot="1" x14ac:dyDescent="0.4">
      <c r="J360" s="1"/>
    </row>
    <row r="361" spans="10:10" ht="15" thickBot="1" x14ac:dyDescent="0.4">
      <c r="J361" s="1"/>
    </row>
    <row r="362" spans="10:10" ht="15" thickBot="1" x14ac:dyDescent="0.4">
      <c r="J362" s="1"/>
    </row>
    <row r="363" spans="10:10" ht="15" thickBot="1" x14ac:dyDescent="0.4">
      <c r="J363" s="1"/>
    </row>
    <row r="364" spans="10:10" ht="15" thickBot="1" x14ac:dyDescent="0.4">
      <c r="J364" s="1"/>
    </row>
    <row r="365" spans="10:10" ht="15" thickBot="1" x14ac:dyDescent="0.4">
      <c r="J365" s="1"/>
    </row>
    <row r="366" spans="10:10" ht="15" thickBot="1" x14ac:dyDescent="0.4">
      <c r="J366" s="1"/>
    </row>
    <row r="367" spans="10:10" ht="15" thickBot="1" x14ac:dyDescent="0.4">
      <c r="J367" s="1"/>
    </row>
    <row r="368" spans="10:10" ht="15" thickBot="1" x14ac:dyDescent="0.4">
      <c r="J368" s="1"/>
    </row>
    <row r="369" spans="10:10" ht="15" thickBot="1" x14ac:dyDescent="0.4">
      <c r="J369" s="1"/>
    </row>
    <row r="370" spans="10:10" ht="15" thickBot="1" x14ac:dyDescent="0.4">
      <c r="J370" s="1"/>
    </row>
    <row r="371" spans="10:10" ht="15" thickBot="1" x14ac:dyDescent="0.4">
      <c r="J371" s="1"/>
    </row>
    <row r="372" spans="10:10" ht="15" thickBot="1" x14ac:dyDescent="0.4">
      <c r="J372" s="1"/>
    </row>
    <row r="373" spans="10:10" ht="15" thickBot="1" x14ac:dyDescent="0.4">
      <c r="J373" s="1"/>
    </row>
    <row r="374" spans="10:10" ht="15" thickBot="1" x14ac:dyDescent="0.4">
      <c r="J374" s="1"/>
    </row>
    <row r="375" spans="10:10" ht="15" thickBot="1" x14ac:dyDescent="0.4">
      <c r="J375" s="1"/>
    </row>
    <row r="376" spans="10:10" ht="15" thickBot="1" x14ac:dyDescent="0.4">
      <c r="J376" s="1"/>
    </row>
    <row r="377" spans="10:10" ht="15" thickBot="1" x14ac:dyDescent="0.4">
      <c r="J377" s="1"/>
    </row>
    <row r="378" spans="10:10" ht="15" thickBot="1" x14ac:dyDescent="0.4">
      <c r="J378" s="1"/>
    </row>
    <row r="379" spans="10:10" ht="15" thickBot="1" x14ac:dyDescent="0.4">
      <c r="J379" s="1"/>
    </row>
    <row r="380" spans="10:10" ht="15" thickBot="1" x14ac:dyDescent="0.4">
      <c r="J380" s="1"/>
    </row>
    <row r="381" spans="10:10" ht="15" thickBot="1" x14ac:dyDescent="0.4">
      <c r="J381" s="1"/>
    </row>
    <row r="382" spans="10:10" ht="15" thickBot="1" x14ac:dyDescent="0.4">
      <c r="J382" s="1"/>
    </row>
    <row r="383" spans="10:10" ht="15" thickBot="1" x14ac:dyDescent="0.4">
      <c r="J383" s="1"/>
    </row>
    <row r="384" spans="10:10" ht="15" thickBot="1" x14ac:dyDescent="0.4">
      <c r="J384" s="1"/>
    </row>
    <row r="385" spans="10:10" ht="15" thickBot="1" x14ac:dyDescent="0.4">
      <c r="J385" s="1"/>
    </row>
    <row r="386" spans="10:10" ht="15" thickBot="1" x14ac:dyDescent="0.4">
      <c r="J386" s="1"/>
    </row>
    <row r="387" spans="10:10" ht="15" thickBot="1" x14ac:dyDescent="0.4">
      <c r="J387" s="1"/>
    </row>
    <row r="388" spans="10:10" ht="15" thickBot="1" x14ac:dyDescent="0.4">
      <c r="J388" s="1"/>
    </row>
    <row r="389" spans="10:10" ht="15" thickBot="1" x14ac:dyDescent="0.4">
      <c r="J389" s="1"/>
    </row>
    <row r="390" spans="10:10" ht="15" thickBot="1" x14ac:dyDescent="0.4">
      <c r="J390" s="1"/>
    </row>
    <row r="391" spans="10:10" ht="15" thickBot="1" x14ac:dyDescent="0.4">
      <c r="J391" s="1"/>
    </row>
    <row r="392" spans="10:10" ht="15" thickBot="1" x14ac:dyDescent="0.4">
      <c r="J392" s="1"/>
    </row>
    <row r="393" spans="10:10" ht="15" thickBot="1" x14ac:dyDescent="0.4">
      <c r="J393" s="1"/>
    </row>
    <row r="394" spans="10:10" ht="15" thickBot="1" x14ac:dyDescent="0.4">
      <c r="J394" s="1"/>
    </row>
    <row r="395" spans="10:10" ht="15" thickBot="1" x14ac:dyDescent="0.4">
      <c r="J395" s="1"/>
    </row>
    <row r="396" spans="10:10" ht="15" thickBot="1" x14ac:dyDescent="0.4">
      <c r="J396" s="1"/>
    </row>
    <row r="397" spans="10:10" ht="15" thickBot="1" x14ac:dyDescent="0.4">
      <c r="J397" s="1"/>
    </row>
    <row r="398" spans="10:10" ht="15" thickBot="1" x14ac:dyDescent="0.4">
      <c r="J398" s="1"/>
    </row>
    <row r="399" spans="10:10" ht="15" thickBot="1" x14ac:dyDescent="0.4">
      <c r="J399" s="1"/>
    </row>
    <row r="400" spans="10:10" ht="15" thickBot="1" x14ac:dyDescent="0.4">
      <c r="J400" s="1"/>
    </row>
    <row r="401" spans="10:10" ht="15" thickBot="1" x14ac:dyDescent="0.4">
      <c r="J401" s="1"/>
    </row>
    <row r="402" spans="10:10" ht="15" thickBot="1" x14ac:dyDescent="0.4">
      <c r="J402" s="1"/>
    </row>
    <row r="403" spans="10:10" ht="15" thickBot="1" x14ac:dyDescent="0.4">
      <c r="J403" s="1"/>
    </row>
    <row r="404" spans="10:10" ht="15" thickBot="1" x14ac:dyDescent="0.4">
      <c r="J404" s="1"/>
    </row>
    <row r="405" spans="10:10" ht="15" thickBot="1" x14ac:dyDescent="0.4">
      <c r="J405" s="1"/>
    </row>
    <row r="406" spans="10:10" ht="15" thickBot="1" x14ac:dyDescent="0.4">
      <c r="J406" s="1"/>
    </row>
    <row r="407" spans="10:10" ht="15" thickBot="1" x14ac:dyDescent="0.4">
      <c r="J407" s="1"/>
    </row>
    <row r="408" spans="10:10" ht="15" thickBot="1" x14ac:dyDescent="0.4">
      <c r="J408" s="1"/>
    </row>
    <row r="409" spans="10:10" ht="15" thickBot="1" x14ac:dyDescent="0.4">
      <c r="J409" s="1"/>
    </row>
    <row r="410" spans="10:10" ht="15" thickBot="1" x14ac:dyDescent="0.4">
      <c r="J410" s="1"/>
    </row>
    <row r="411" spans="10:10" ht="15" thickBot="1" x14ac:dyDescent="0.4">
      <c r="J411" s="1"/>
    </row>
    <row r="412" spans="10:10" ht="15" thickBot="1" x14ac:dyDescent="0.4">
      <c r="J412" s="1"/>
    </row>
    <row r="413" spans="10:10" ht="15" thickBot="1" x14ac:dyDescent="0.4">
      <c r="J413" s="1"/>
    </row>
    <row r="414" spans="10:10" ht="15" thickBot="1" x14ac:dyDescent="0.4">
      <c r="J414" s="1"/>
    </row>
    <row r="415" spans="10:10" ht="15" thickBot="1" x14ac:dyDescent="0.4">
      <c r="J415" s="1"/>
    </row>
    <row r="416" spans="10:10" ht="15" thickBot="1" x14ac:dyDescent="0.4">
      <c r="J416" s="1"/>
    </row>
    <row r="417" spans="10:10" ht="15" thickBot="1" x14ac:dyDescent="0.4">
      <c r="J417" s="1"/>
    </row>
    <row r="418" spans="10:10" ht="15" thickBot="1" x14ac:dyDescent="0.4">
      <c r="J418" s="1"/>
    </row>
    <row r="419" spans="10:10" ht="15" thickBot="1" x14ac:dyDescent="0.4">
      <c r="J419" s="1"/>
    </row>
    <row r="420" spans="10:10" ht="15" thickBot="1" x14ac:dyDescent="0.4">
      <c r="J420" s="1"/>
    </row>
    <row r="421" spans="10:10" ht="15" thickBot="1" x14ac:dyDescent="0.4">
      <c r="J421" s="1"/>
    </row>
    <row r="422" spans="10:10" ht="15" thickBot="1" x14ac:dyDescent="0.4">
      <c r="J422" s="1"/>
    </row>
    <row r="423" spans="10:10" ht="15" thickBot="1" x14ac:dyDescent="0.4">
      <c r="J423" s="1"/>
    </row>
    <row r="424" spans="10:10" ht="15" thickBot="1" x14ac:dyDescent="0.4">
      <c r="J424" s="1"/>
    </row>
    <row r="425" spans="10:10" ht="15" thickBot="1" x14ac:dyDescent="0.4">
      <c r="J425" s="1"/>
    </row>
    <row r="426" spans="10:10" ht="15" thickBot="1" x14ac:dyDescent="0.4">
      <c r="J426" s="1"/>
    </row>
    <row r="427" spans="10:10" ht="15" thickBot="1" x14ac:dyDescent="0.4">
      <c r="J427" s="1"/>
    </row>
    <row r="428" spans="10:10" ht="15" thickBot="1" x14ac:dyDescent="0.4">
      <c r="J428" s="1"/>
    </row>
    <row r="429" spans="10:10" ht="15" thickBot="1" x14ac:dyDescent="0.4">
      <c r="J429" s="1"/>
    </row>
    <row r="430" spans="10:10" ht="15" thickBot="1" x14ac:dyDescent="0.4">
      <c r="J430" s="1"/>
    </row>
    <row r="431" spans="10:10" ht="15" thickBot="1" x14ac:dyDescent="0.4">
      <c r="J431" s="1"/>
    </row>
    <row r="432" spans="10:10" ht="15" thickBot="1" x14ac:dyDescent="0.4">
      <c r="J432" s="1"/>
    </row>
    <row r="433" spans="10:10" ht="15" thickBot="1" x14ac:dyDescent="0.4">
      <c r="J433" s="1"/>
    </row>
    <row r="434" spans="10:10" ht="15" thickBot="1" x14ac:dyDescent="0.4">
      <c r="J434" s="1"/>
    </row>
    <row r="435" spans="10:10" ht="15" thickBot="1" x14ac:dyDescent="0.4">
      <c r="J435" s="1"/>
    </row>
    <row r="436" spans="10:10" ht="15" thickBot="1" x14ac:dyDescent="0.4">
      <c r="J436" s="1"/>
    </row>
    <row r="437" spans="10:10" ht="15" thickBot="1" x14ac:dyDescent="0.4">
      <c r="J437" s="1"/>
    </row>
    <row r="438" spans="10:10" ht="15" thickBot="1" x14ac:dyDescent="0.4">
      <c r="J438" s="1"/>
    </row>
    <row r="439" spans="10:10" ht="15" thickBot="1" x14ac:dyDescent="0.4">
      <c r="J439" s="1"/>
    </row>
    <row r="440" spans="10:10" ht="15" thickBot="1" x14ac:dyDescent="0.4">
      <c r="J440" s="1"/>
    </row>
    <row r="441" spans="10:10" ht="15" thickBot="1" x14ac:dyDescent="0.4">
      <c r="J441" s="1"/>
    </row>
    <row r="442" spans="10:10" ht="15" thickBot="1" x14ac:dyDescent="0.4">
      <c r="J442" s="1"/>
    </row>
    <row r="443" spans="10:10" ht="15" thickBot="1" x14ac:dyDescent="0.4">
      <c r="J443" s="1"/>
    </row>
    <row r="444" spans="10:10" ht="15" thickBot="1" x14ac:dyDescent="0.4">
      <c r="J444" s="1"/>
    </row>
    <row r="445" spans="10:10" ht="15" thickBot="1" x14ac:dyDescent="0.4">
      <c r="J445" s="1"/>
    </row>
    <row r="446" spans="10:10" ht="15" thickBot="1" x14ac:dyDescent="0.4">
      <c r="J446" s="1"/>
    </row>
    <row r="447" spans="10:10" ht="15" thickBot="1" x14ac:dyDescent="0.4">
      <c r="J447" s="1"/>
    </row>
    <row r="448" spans="10:10" ht="15" thickBot="1" x14ac:dyDescent="0.4">
      <c r="J448" s="1"/>
    </row>
    <row r="449" spans="10:10" ht="15" thickBot="1" x14ac:dyDescent="0.4">
      <c r="J449" s="1"/>
    </row>
    <row r="450" spans="10:10" ht="15" thickBot="1" x14ac:dyDescent="0.4">
      <c r="J450" s="1"/>
    </row>
    <row r="451" spans="10:10" ht="15" thickBot="1" x14ac:dyDescent="0.4">
      <c r="J451" s="1"/>
    </row>
    <row r="452" spans="10:10" ht="15" thickBot="1" x14ac:dyDescent="0.4">
      <c r="J452" s="1"/>
    </row>
    <row r="453" spans="10:10" ht="15" thickBot="1" x14ac:dyDescent="0.4">
      <c r="J453" s="1"/>
    </row>
    <row r="454" spans="10:10" ht="15" thickBot="1" x14ac:dyDescent="0.4">
      <c r="J454" s="1"/>
    </row>
    <row r="455" spans="10:10" ht="15" thickBot="1" x14ac:dyDescent="0.4">
      <c r="J455" s="1"/>
    </row>
    <row r="456" spans="10:10" ht="15" thickBot="1" x14ac:dyDescent="0.4">
      <c r="J456" s="1"/>
    </row>
    <row r="457" spans="10:10" ht="15" thickBot="1" x14ac:dyDescent="0.4">
      <c r="J457" s="1"/>
    </row>
    <row r="458" spans="10:10" ht="15" thickBot="1" x14ac:dyDescent="0.4">
      <c r="J458" s="1"/>
    </row>
    <row r="459" spans="10:10" ht="15" thickBot="1" x14ac:dyDescent="0.4">
      <c r="J459" s="1"/>
    </row>
    <row r="460" spans="10:10" ht="15" thickBot="1" x14ac:dyDescent="0.4">
      <c r="J460" s="1"/>
    </row>
    <row r="461" spans="10:10" ht="15" thickBot="1" x14ac:dyDescent="0.4">
      <c r="J461" s="1"/>
    </row>
    <row r="462" spans="10:10" ht="15" thickBot="1" x14ac:dyDescent="0.4">
      <c r="J462" s="1"/>
    </row>
    <row r="463" spans="10:10" ht="15" thickBot="1" x14ac:dyDescent="0.4">
      <c r="J463" s="1"/>
    </row>
    <row r="464" spans="10:10" ht="15" thickBot="1" x14ac:dyDescent="0.4">
      <c r="J464" s="1"/>
    </row>
    <row r="465" spans="10:10" ht="15" thickBot="1" x14ac:dyDescent="0.4">
      <c r="J465" s="1"/>
    </row>
    <row r="466" spans="10:10" ht="15" thickBot="1" x14ac:dyDescent="0.4">
      <c r="J466" s="1"/>
    </row>
    <row r="467" spans="10:10" ht="15" thickBot="1" x14ac:dyDescent="0.4">
      <c r="J467" s="1"/>
    </row>
    <row r="468" spans="10:10" ht="15" thickBot="1" x14ac:dyDescent="0.4">
      <c r="J468" s="1"/>
    </row>
    <row r="469" spans="10:10" ht="15" thickBot="1" x14ac:dyDescent="0.4">
      <c r="J469" s="1"/>
    </row>
    <row r="470" spans="10:10" ht="15" thickBot="1" x14ac:dyDescent="0.4">
      <c r="J470" s="1"/>
    </row>
    <row r="471" spans="10:10" ht="15" thickBot="1" x14ac:dyDescent="0.4">
      <c r="J471" s="1"/>
    </row>
    <row r="472" spans="10:10" ht="15" thickBot="1" x14ac:dyDescent="0.4">
      <c r="J472" s="1"/>
    </row>
    <row r="473" spans="10:10" ht="15" thickBot="1" x14ac:dyDescent="0.4">
      <c r="J473" s="1"/>
    </row>
    <row r="474" spans="10:10" ht="15" thickBot="1" x14ac:dyDescent="0.4">
      <c r="J474" s="1"/>
    </row>
    <row r="475" spans="10:10" ht="15" thickBot="1" x14ac:dyDescent="0.4">
      <c r="J475" s="1"/>
    </row>
    <row r="476" spans="10:10" ht="15" thickBot="1" x14ac:dyDescent="0.4">
      <c r="J476" s="1"/>
    </row>
    <row r="477" spans="10:10" ht="15" thickBot="1" x14ac:dyDescent="0.4">
      <c r="J477" s="1"/>
    </row>
    <row r="478" spans="10:10" ht="15" thickBot="1" x14ac:dyDescent="0.4">
      <c r="J478" s="1"/>
    </row>
    <row r="479" spans="10:10" ht="15" thickBot="1" x14ac:dyDescent="0.4">
      <c r="J479" s="1"/>
    </row>
    <row r="480" spans="10:10" ht="15" thickBot="1" x14ac:dyDescent="0.4">
      <c r="J480" s="1"/>
    </row>
    <row r="481" spans="10:10" ht="15" thickBot="1" x14ac:dyDescent="0.4">
      <c r="J481" s="1"/>
    </row>
    <row r="482" spans="10:10" ht="15" thickBot="1" x14ac:dyDescent="0.4">
      <c r="J482" s="1"/>
    </row>
    <row r="483" spans="10:10" ht="15" thickBot="1" x14ac:dyDescent="0.4">
      <c r="J483" s="1"/>
    </row>
    <row r="484" spans="10:10" ht="15" thickBot="1" x14ac:dyDescent="0.4">
      <c r="J484" s="1"/>
    </row>
    <row r="485" spans="10:10" ht="15" thickBot="1" x14ac:dyDescent="0.4">
      <c r="J485" s="1"/>
    </row>
    <row r="486" spans="10:10" ht="15" thickBot="1" x14ac:dyDescent="0.4">
      <c r="J486" s="1"/>
    </row>
    <row r="487" spans="10:10" ht="15" thickBot="1" x14ac:dyDescent="0.4">
      <c r="J487" s="1"/>
    </row>
    <row r="488" spans="10:10" ht="15" thickBot="1" x14ac:dyDescent="0.4">
      <c r="J488" s="1"/>
    </row>
    <row r="489" spans="10:10" ht="15" thickBot="1" x14ac:dyDescent="0.4">
      <c r="J489" s="1"/>
    </row>
    <row r="490" spans="10:10" ht="15" thickBot="1" x14ac:dyDescent="0.4">
      <c r="J490" s="1"/>
    </row>
    <row r="491" spans="10:10" ht="15" thickBot="1" x14ac:dyDescent="0.4">
      <c r="J491" s="1"/>
    </row>
    <row r="492" spans="10:10" ht="15" thickBot="1" x14ac:dyDescent="0.4">
      <c r="J492" s="1"/>
    </row>
    <row r="493" spans="10:10" ht="15" thickBot="1" x14ac:dyDescent="0.4">
      <c r="J493" s="1"/>
    </row>
    <row r="494" spans="10:10" ht="15" thickBot="1" x14ac:dyDescent="0.4">
      <c r="J494" s="1"/>
    </row>
    <row r="495" spans="10:10" ht="15" thickBot="1" x14ac:dyDescent="0.4">
      <c r="J495" s="1"/>
    </row>
    <row r="496" spans="10:10" ht="15" thickBot="1" x14ac:dyDescent="0.4">
      <c r="J496" s="1"/>
    </row>
    <row r="497" spans="10:10" ht="15" thickBot="1" x14ac:dyDescent="0.4">
      <c r="J497" s="1"/>
    </row>
    <row r="498" spans="10:10" ht="15" thickBot="1" x14ac:dyDescent="0.4">
      <c r="J498" s="1"/>
    </row>
    <row r="499" spans="10:10" ht="15" thickBot="1" x14ac:dyDescent="0.4">
      <c r="J499" s="1"/>
    </row>
    <row r="500" spans="10:10" ht="15" thickBot="1" x14ac:dyDescent="0.4">
      <c r="J500" s="1"/>
    </row>
    <row r="501" spans="10:10" ht="15" thickBot="1" x14ac:dyDescent="0.4">
      <c r="J501" s="1"/>
    </row>
    <row r="502" spans="10:10" ht="15" thickBot="1" x14ac:dyDescent="0.4">
      <c r="J502" s="1"/>
    </row>
    <row r="503" spans="10:10" ht="15" thickBot="1" x14ac:dyDescent="0.4">
      <c r="J503" s="1"/>
    </row>
    <row r="504" spans="10:10" ht="15" thickBot="1" x14ac:dyDescent="0.4">
      <c r="J504" s="1"/>
    </row>
    <row r="505" spans="10:10" ht="15" thickBot="1" x14ac:dyDescent="0.4">
      <c r="J505" s="1"/>
    </row>
    <row r="506" spans="10:10" ht="15" thickBot="1" x14ac:dyDescent="0.4">
      <c r="J506" s="1"/>
    </row>
    <row r="507" spans="10:10" ht="15" thickBot="1" x14ac:dyDescent="0.4">
      <c r="J507" s="1"/>
    </row>
    <row r="508" spans="10:10" ht="15" thickBot="1" x14ac:dyDescent="0.4">
      <c r="J508" s="1"/>
    </row>
    <row r="509" spans="10:10" ht="15" thickBot="1" x14ac:dyDescent="0.4">
      <c r="J509" s="1"/>
    </row>
    <row r="510" spans="10:10" ht="15" thickBot="1" x14ac:dyDescent="0.4">
      <c r="J510" s="1"/>
    </row>
    <row r="511" spans="10:10" ht="15" thickBot="1" x14ac:dyDescent="0.4">
      <c r="J511" s="1"/>
    </row>
    <row r="512" spans="10:10" ht="15" thickBot="1" x14ac:dyDescent="0.4">
      <c r="J512" s="1"/>
    </row>
    <row r="513" spans="10:10" ht="15" thickBot="1" x14ac:dyDescent="0.4">
      <c r="J513" s="1"/>
    </row>
    <row r="514" spans="10:10" ht="15" thickBot="1" x14ac:dyDescent="0.4">
      <c r="J514" s="1"/>
    </row>
    <row r="515" spans="10:10" ht="15" thickBot="1" x14ac:dyDescent="0.4">
      <c r="J515" s="1"/>
    </row>
    <row r="516" spans="10:10" ht="15" thickBot="1" x14ac:dyDescent="0.4">
      <c r="J516" s="1"/>
    </row>
    <row r="517" spans="10:10" ht="15" thickBot="1" x14ac:dyDescent="0.4">
      <c r="J517" s="1"/>
    </row>
    <row r="518" spans="10:10" ht="15" thickBot="1" x14ac:dyDescent="0.4">
      <c r="J518" s="1"/>
    </row>
    <row r="519" spans="10:10" ht="15" thickBot="1" x14ac:dyDescent="0.4">
      <c r="J519" s="1"/>
    </row>
    <row r="520" spans="10:10" ht="15" thickBot="1" x14ac:dyDescent="0.4">
      <c r="J520" s="1"/>
    </row>
    <row r="521" spans="10:10" ht="15" thickBot="1" x14ac:dyDescent="0.4">
      <c r="J521" s="1"/>
    </row>
    <row r="522" spans="10:10" ht="15" thickBot="1" x14ac:dyDescent="0.4">
      <c r="J522" s="1"/>
    </row>
    <row r="523" spans="10:10" ht="15" thickBot="1" x14ac:dyDescent="0.4">
      <c r="J523" s="1"/>
    </row>
    <row r="524" spans="10:10" ht="15" thickBot="1" x14ac:dyDescent="0.4">
      <c r="J524" s="1"/>
    </row>
    <row r="525" spans="10:10" ht="15" thickBot="1" x14ac:dyDescent="0.4">
      <c r="J525" s="1"/>
    </row>
    <row r="526" spans="10:10" ht="15" thickBot="1" x14ac:dyDescent="0.4">
      <c r="J526" s="1"/>
    </row>
    <row r="527" spans="10:10" ht="15" thickBot="1" x14ac:dyDescent="0.4">
      <c r="J527" s="1"/>
    </row>
    <row r="528" spans="10:10" ht="15" thickBot="1" x14ac:dyDescent="0.4">
      <c r="J528" s="1"/>
    </row>
    <row r="529" spans="10:10" ht="15" thickBot="1" x14ac:dyDescent="0.4">
      <c r="J529" s="1"/>
    </row>
    <row r="530" spans="10:10" ht="15" thickBot="1" x14ac:dyDescent="0.4">
      <c r="J530" s="1"/>
    </row>
    <row r="531" spans="10:10" ht="15" thickBot="1" x14ac:dyDescent="0.4">
      <c r="J531" s="1"/>
    </row>
    <row r="532" spans="10:10" ht="15" thickBot="1" x14ac:dyDescent="0.4">
      <c r="J532" s="1"/>
    </row>
    <row r="533" spans="10:10" ht="15" thickBot="1" x14ac:dyDescent="0.4">
      <c r="J533" s="1"/>
    </row>
    <row r="534" spans="10:10" ht="15" thickBot="1" x14ac:dyDescent="0.4">
      <c r="J534" s="1"/>
    </row>
    <row r="535" spans="10:10" ht="15" thickBot="1" x14ac:dyDescent="0.4">
      <c r="J535" s="1"/>
    </row>
    <row r="536" spans="10:10" ht="15" thickBot="1" x14ac:dyDescent="0.4">
      <c r="J536" s="1"/>
    </row>
    <row r="537" spans="10:10" ht="15" thickBot="1" x14ac:dyDescent="0.4">
      <c r="J537" s="1"/>
    </row>
    <row r="538" spans="10:10" ht="15" thickBot="1" x14ac:dyDescent="0.4">
      <c r="J538" s="1"/>
    </row>
    <row r="539" spans="10:10" ht="15" thickBot="1" x14ac:dyDescent="0.4">
      <c r="J539" s="1"/>
    </row>
    <row r="540" spans="10:10" ht="15" thickBot="1" x14ac:dyDescent="0.4">
      <c r="J540" s="1"/>
    </row>
    <row r="541" spans="10:10" ht="15" thickBot="1" x14ac:dyDescent="0.4">
      <c r="J541" s="1"/>
    </row>
    <row r="542" spans="10:10" ht="15" thickBot="1" x14ac:dyDescent="0.4">
      <c r="J542" s="1"/>
    </row>
    <row r="543" spans="10:10" ht="15" thickBot="1" x14ac:dyDescent="0.4">
      <c r="J543" s="1"/>
    </row>
    <row r="544" spans="10:10" ht="15" thickBot="1" x14ac:dyDescent="0.4">
      <c r="J544" s="1"/>
    </row>
    <row r="545" spans="10:10" ht="15" thickBot="1" x14ac:dyDescent="0.4">
      <c r="J545" s="1"/>
    </row>
    <row r="546" spans="10:10" ht="15" thickBot="1" x14ac:dyDescent="0.4">
      <c r="J546" s="1"/>
    </row>
    <row r="547" spans="10:10" ht="15" thickBot="1" x14ac:dyDescent="0.4">
      <c r="J547" s="1"/>
    </row>
    <row r="548" spans="10:10" ht="15" thickBot="1" x14ac:dyDescent="0.4">
      <c r="J548" s="1"/>
    </row>
    <row r="549" spans="10:10" ht="15" thickBot="1" x14ac:dyDescent="0.4">
      <c r="J549" s="1"/>
    </row>
    <row r="550" spans="10:10" ht="15" thickBot="1" x14ac:dyDescent="0.4">
      <c r="J550" s="1"/>
    </row>
    <row r="551" spans="10:10" ht="15" thickBot="1" x14ac:dyDescent="0.4">
      <c r="J551" s="1"/>
    </row>
    <row r="552" spans="10:10" ht="15" thickBot="1" x14ac:dyDescent="0.4">
      <c r="J552" s="1"/>
    </row>
    <row r="553" spans="10:10" ht="15" thickBot="1" x14ac:dyDescent="0.4">
      <c r="J553" s="1"/>
    </row>
    <row r="554" spans="10:10" ht="15" thickBot="1" x14ac:dyDescent="0.4">
      <c r="J554" s="1"/>
    </row>
    <row r="555" spans="10:10" ht="15" thickBot="1" x14ac:dyDescent="0.4">
      <c r="J555" s="1"/>
    </row>
    <row r="556" spans="10:10" ht="15" thickBot="1" x14ac:dyDescent="0.4">
      <c r="J556" s="1"/>
    </row>
    <row r="557" spans="10:10" ht="15" thickBot="1" x14ac:dyDescent="0.4">
      <c r="J557" s="1"/>
    </row>
    <row r="558" spans="10:10" ht="15" thickBot="1" x14ac:dyDescent="0.4">
      <c r="J558" s="1"/>
    </row>
    <row r="559" spans="10:10" ht="15" thickBot="1" x14ac:dyDescent="0.4">
      <c r="J559" s="1"/>
    </row>
    <row r="560" spans="10:10" ht="15" thickBot="1" x14ac:dyDescent="0.4">
      <c r="J560" s="1"/>
    </row>
    <row r="561" spans="10:10" ht="15" thickBot="1" x14ac:dyDescent="0.4">
      <c r="J561" s="1"/>
    </row>
    <row r="562" spans="10:10" ht="15" thickBot="1" x14ac:dyDescent="0.4">
      <c r="J562" s="1"/>
    </row>
    <row r="563" spans="10:10" ht="15" thickBot="1" x14ac:dyDescent="0.4">
      <c r="J563" s="1"/>
    </row>
    <row r="564" spans="10:10" ht="15" thickBot="1" x14ac:dyDescent="0.4">
      <c r="J564" s="1"/>
    </row>
    <row r="565" spans="10:10" ht="15" thickBot="1" x14ac:dyDescent="0.4">
      <c r="J565" s="1"/>
    </row>
    <row r="566" spans="10:10" ht="15" thickBot="1" x14ac:dyDescent="0.4">
      <c r="J566" s="1"/>
    </row>
    <row r="567" spans="10:10" ht="15" thickBot="1" x14ac:dyDescent="0.4">
      <c r="J567" s="1"/>
    </row>
    <row r="568" spans="10:10" ht="15" thickBot="1" x14ac:dyDescent="0.4">
      <c r="J568" s="1"/>
    </row>
    <row r="569" spans="10:10" ht="15" thickBot="1" x14ac:dyDescent="0.4">
      <c r="J569" s="1"/>
    </row>
    <row r="570" spans="10:10" ht="15" thickBot="1" x14ac:dyDescent="0.4">
      <c r="J570" s="1"/>
    </row>
    <row r="571" spans="10:10" ht="15" thickBot="1" x14ac:dyDescent="0.4">
      <c r="J571" s="1"/>
    </row>
    <row r="572" spans="10:10" ht="15" thickBot="1" x14ac:dyDescent="0.4">
      <c r="J572" s="1"/>
    </row>
    <row r="573" spans="10:10" ht="15" thickBot="1" x14ac:dyDescent="0.4">
      <c r="J573" s="1"/>
    </row>
    <row r="574" spans="10:10" ht="15" thickBot="1" x14ac:dyDescent="0.4">
      <c r="J574" s="1"/>
    </row>
    <row r="575" spans="10:10" ht="15" thickBot="1" x14ac:dyDescent="0.4">
      <c r="J575" s="1"/>
    </row>
    <row r="576" spans="10:10" ht="15" thickBot="1" x14ac:dyDescent="0.4">
      <c r="J576" s="1"/>
    </row>
    <row r="577" spans="10:10" ht="15" thickBot="1" x14ac:dyDescent="0.4">
      <c r="J577" s="1"/>
    </row>
    <row r="578" spans="10:10" ht="15" thickBot="1" x14ac:dyDescent="0.4">
      <c r="J578" s="1"/>
    </row>
    <row r="579" spans="10:10" ht="15" thickBot="1" x14ac:dyDescent="0.4">
      <c r="J579" s="1"/>
    </row>
    <row r="580" spans="10:10" ht="15" thickBot="1" x14ac:dyDescent="0.4">
      <c r="J580" s="1"/>
    </row>
    <row r="581" spans="10:10" ht="15" thickBot="1" x14ac:dyDescent="0.4">
      <c r="J581" s="1"/>
    </row>
    <row r="582" spans="10:10" ht="15" thickBot="1" x14ac:dyDescent="0.4">
      <c r="J582" s="1"/>
    </row>
    <row r="583" spans="10:10" ht="15" thickBot="1" x14ac:dyDescent="0.4">
      <c r="J583" s="1"/>
    </row>
    <row r="584" spans="10:10" ht="15" thickBot="1" x14ac:dyDescent="0.4">
      <c r="J584" s="1"/>
    </row>
    <row r="585" spans="10:10" ht="15" thickBot="1" x14ac:dyDescent="0.4">
      <c r="J585" s="1"/>
    </row>
    <row r="586" spans="10:10" ht="15" thickBot="1" x14ac:dyDescent="0.4">
      <c r="J586" s="1"/>
    </row>
    <row r="587" spans="10:10" ht="15" thickBot="1" x14ac:dyDescent="0.4">
      <c r="J587" s="1"/>
    </row>
    <row r="588" spans="10:10" ht="15" thickBot="1" x14ac:dyDescent="0.4">
      <c r="J588" s="1"/>
    </row>
    <row r="589" spans="10:10" ht="15" thickBot="1" x14ac:dyDescent="0.4">
      <c r="J589" s="1"/>
    </row>
    <row r="590" spans="10:10" ht="15" thickBot="1" x14ac:dyDescent="0.4">
      <c r="J590" s="1"/>
    </row>
    <row r="591" spans="10:10" ht="15" thickBot="1" x14ac:dyDescent="0.4">
      <c r="J591" s="1"/>
    </row>
    <row r="592" spans="10:10" ht="15" thickBot="1" x14ac:dyDescent="0.4">
      <c r="J592" s="1"/>
    </row>
    <row r="593" spans="10:10" ht="15" thickBot="1" x14ac:dyDescent="0.4">
      <c r="J593" s="1"/>
    </row>
    <row r="594" spans="10:10" ht="15" thickBot="1" x14ac:dyDescent="0.4">
      <c r="J594" s="1"/>
    </row>
    <row r="595" spans="10:10" ht="15" thickBot="1" x14ac:dyDescent="0.4">
      <c r="J595" s="1"/>
    </row>
    <row r="596" spans="10:10" ht="15" thickBot="1" x14ac:dyDescent="0.4">
      <c r="J596" s="1"/>
    </row>
    <row r="597" spans="10:10" ht="15" thickBot="1" x14ac:dyDescent="0.4">
      <c r="J597" s="1"/>
    </row>
    <row r="598" spans="10:10" ht="15" thickBot="1" x14ac:dyDescent="0.4">
      <c r="J598" s="1"/>
    </row>
    <row r="599" spans="10:10" ht="15" thickBot="1" x14ac:dyDescent="0.4">
      <c r="J599" s="1"/>
    </row>
    <row r="600" spans="10:10" ht="15" thickBot="1" x14ac:dyDescent="0.4">
      <c r="J600" s="1"/>
    </row>
    <row r="601" spans="10:10" ht="15" thickBot="1" x14ac:dyDescent="0.4">
      <c r="J601" s="1"/>
    </row>
    <row r="602" spans="10:10" ht="15" thickBot="1" x14ac:dyDescent="0.4">
      <c r="J602" s="1"/>
    </row>
    <row r="603" spans="10:10" ht="15" thickBot="1" x14ac:dyDescent="0.4">
      <c r="J603" s="1"/>
    </row>
    <row r="604" spans="10:10" ht="15" thickBot="1" x14ac:dyDescent="0.4">
      <c r="J604" s="1"/>
    </row>
    <row r="605" spans="10:10" ht="15" thickBot="1" x14ac:dyDescent="0.4">
      <c r="J605" s="1"/>
    </row>
    <row r="606" spans="10:10" ht="15" thickBot="1" x14ac:dyDescent="0.4">
      <c r="J606" s="1"/>
    </row>
    <row r="607" spans="10:10" ht="15" thickBot="1" x14ac:dyDescent="0.4">
      <c r="J607" s="1"/>
    </row>
    <row r="608" spans="10:10" ht="15" thickBot="1" x14ac:dyDescent="0.4">
      <c r="J608" s="1"/>
    </row>
    <row r="609" spans="10:10" ht="15" thickBot="1" x14ac:dyDescent="0.4">
      <c r="J609" s="1"/>
    </row>
    <row r="610" spans="10:10" ht="15" thickBot="1" x14ac:dyDescent="0.4">
      <c r="J610" s="1"/>
    </row>
    <row r="611" spans="10:10" ht="15" thickBot="1" x14ac:dyDescent="0.4">
      <c r="J611" s="1"/>
    </row>
    <row r="612" spans="10:10" ht="15" thickBot="1" x14ac:dyDescent="0.4">
      <c r="J612" s="1"/>
    </row>
    <row r="613" spans="10:10" ht="15" thickBot="1" x14ac:dyDescent="0.4">
      <c r="J613" s="1"/>
    </row>
    <row r="614" spans="10:10" ht="15" thickBot="1" x14ac:dyDescent="0.4">
      <c r="J614" s="1"/>
    </row>
    <row r="615" spans="10:10" ht="15" thickBot="1" x14ac:dyDescent="0.4">
      <c r="J615" s="1"/>
    </row>
    <row r="616" spans="10:10" ht="15" thickBot="1" x14ac:dyDescent="0.4">
      <c r="J616" s="1"/>
    </row>
    <row r="617" spans="10:10" ht="15" thickBot="1" x14ac:dyDescent="0.4">
      <c r="J617" s="1"/>
    </row>
    <row r="618" spans="10:10" ht="15" thickBot="1" x14ac:dyDescent="0.4">
      <c r="J618" s="1"/>
    </row>
    <row r="619" spans="10:10" ht="15" thickBot="1" x14ac:dyDescent="0.4">
      <c r="J619" s="1"/>
    </row>
    <row r="620" spans="10:10" ht="15" thickBot="1" x14ac:dyDescent="0.4">
      <c r="J620" s="1"/>
    </row>
    <row r="621" spans="10:10" ht="15" thickBot="1" x14ac:dyDescent="0.4">
      <c r="J621" s="1"/>
    </row>
    <row r="622" spans="10:10" ht="15" thickBot="1" x14ac:dyDescent="0.4">
      <c r="J622" s="1"/>
    </row>
    <row r="623" spans="10:10" ht="15" thickBot="1" x14ac:dyDescent="0.4">
      <c r="J623" s="1"/>
    </row>
    <row r="624" spans="10:10" ht="15" thickBot="1" x14ac:dyDescent="0.4">
      <c r="J624" s="1"/>
    </row>
    <row r="625" spans="10:10" ht="15" thickBot="1" x14ac:dyDescent="0.4">
      <c r="J625" s="1"/>
    </row>
    <row r="626" spans="10:10" ht="15" thickBot="1" x14ac:dyDescent="0.4">
      <c r="J626" s="1"/>
    </row>
    <row r="627" spans="10:10" ht="15" thickBot="1" x14ac:dyDescent="0.4">
      <c r="J627" s="1"/>
    </row>
    <row r="628" spans="10:10" ht="15" thickBot="1" x14ac:dyDescent="0.4">
      <c r="J628" s="1"/>
    </row>
    <row r="629" spans="10:10" ht="15" thickBot="1" x14ac:dyDescent="0.4">
      <c r="J629" s="1"/>
    </row>
    <row r="630" spans="10:10" ht="15" thickBot="1" x14ac:dyDescent="0.4">
      <c r="J630" s="1"/>
    </row>
    <row r="631" spans="10:10" ht="15" thickBot="1" x14ac:dyDescent="0.4">
      <c r="J631" s="1"/>
    </row>
    <row r="632" spans="10:10" ht="15" thickBot="1" x14ac:dyDescent="0.4">
      <c r="J632" s="1"/>
    </row>
    <row r="633" spans="10:10" ht="15" thickBot="1" x14ac:dyDescent="0.4">
      <c r="J633" s="1"/>
    </row>
    <row r="634" spans="10:10" ht="15" thickBot="1" x14ac:dyDescent="0.4">
      <c r="J634" s="1"/>
    </row>
    <row r="635" spans="10:10" ht="15" thickBot="1" x14ac:dyDescent="0.4">
      <c r="J635" s="1"/>
    </row>
    <row r="636" spans="10:10" ht="15" thickBot="1" x14ac:dyDescent="0.4">
      <c r="J636" s="1"/>
    </row>
    <row r="637" spans="10:10" ht="15" thickBot="1" x14ac:dyDescent="0.4">
      <c r="J637" s="1"/>
    </row>
    <row r="638" spans="10:10" ht="15" thickBot="1" x14ac:dyDescent="0.4">
      <c r="J638" s="1"/>
    </row>
    <row r="639" spans="10:10" ht="15" thickBot="1" x14ac:dyDescent="0.4">
      <c r="J639" s="1"/>
    </row>
    <row r="640" spans="10:10" ht="15" thickBot="1" x14ac:dyDescent="0.4">
      <c r="J640" s="1"/>
    </row>
    <row r="641" spans="10:10" ht="15" thickBot="1" x14ac:dyDescent="0.4">
      <c r="J641" s="1"/>
    </row>
    <row r="642" spans="10:10" ht="15" thickBot="1" x14ac:dyDescent="0.4">
      <c r="J642" s="1"/>
    </row>
    <row r="643" spans="10:10" ht="15" thickBot="1" x14ac:dyDescent="0.4">
      <c r="J643" s="1"/>
    </row>
    <row r="644" spans="10:10" ht="15" thickBot="1" x14ac:dyDescent="0.4">
      <c r="J644" s="1"/>
    </row>
    <row r="645" spans="10:10" ht="15" thickBot="1" x14ac:dyDescent="0.4">
      <c r="J645" s="1"/>
    </row>
    <row r="646" spans="10:10" ht="15" thickBot="1" x14ac:dyDescent="0.4">
      <c r="J646" s="1"/>
    </row>
    <row r="647" spans="10:10" ht="15" thickBot="1" x14ac:dyDescent="0.4">
      <c r="J647" s="1"/>
    </row>
    <row r="648" spans="10:10" ht="15" thickBot="1" x14ac:dyDescent="0.4">
      <c r="J648" s="1"/>
    </row>
    <row r="649" spans="10:10" ht="15" thickBot="1" x14ac:dyDescent="0.4">
      <c r="J649" s="1"/>
    </row>
    <row r="650" spans="10:10" ht="15" thickBot="1" x14ac:dyDescent="0.4">
      <c r="J650" s="1"/>
    </row>
    <row r="651" spans="10:10" ht="15" thickBot="1" x14ac:dyDescent="0.4">
      <c r="J651" s="1"/>
    </row>
    <row r="652" spans="10:10" ht="15" thickBot="1" x14ac:dyDescent="0.4">
      <c r="J652" s="1"/>
    </row>
    <row r="653" spans="10:10" ht="15" thickBot="1" x14ac:dyDescent="0.4">
      <c r="J653" s="1"/>
    </row>
    <row r="654" spans="10:10" ht="15" thickBot="1" x14ac:dyDescent="0.4">
      <c r="J654" s="1"/>
    </row>
    <row r="655" spans="10:10" ht="15" thickBot="1" x14ac:dyDescent="0.4">
      <c r="J655" s="1"/>
    </row>
    <row r="656" spans="10:10" ht="15" thickBot="1" x14ac:dyDescent="0.4">
      <c r="J656" s="1"/>
    </row>
    <row r="657" spans="10:10" ht="15" thickBot="1" x14ac:dyDescent="0.4">
      <c r="J657" s="1"/>
    </row>
    <row r="658" spans="10:10" ht="15" thickBot="1" x14ac:dyDescent="0.4">
      <c r="J658" s="1"/>
    </row>
    <row r="659" spans="10:10" ht="15" thickBot="1" x14ac:dyDescent="0.4">
      <c r="J659" s="1"/>
    </row>
    <row r="660" spans="10:10" ht="15" thickBot="1" x14ac:dyDescent="0.4">
      <c r="J660" s="1"/>
    </row>
    <row r="661" spans="10:10" ht="15" thickBot="1" x14ac:dyDescent="0.4">
      <c r="J661" s="1"/>
    </row>
    <row r="662" spans="10:10" ht="15" thickBot="1" x14ac:dyDescent="0.4">
      <c r="J662" s="1"/>
    </row>
    <row r="663" spans="10:10" ht="15" thickBot="1" x14ac:dyDescent="0.4">
      <c r="J663" s="1"/>
    </row>
    <row r="664" spans="10:10" ht="15" thickBot="1" x14ac:dyDescent="0.4">
      <c r="J664" s="1"/>
    </row>
    <row r="665" spans="10:10" ht="15" thickBot="1" x14ac:dyDescent="0.4">
      <c r="J665" s="1"/>
    </row>
    <row r="666" spans="10:10" ht="15" thickBot="1" x14ac:dyDescent="0.4">
      <c r="J666" s="1"/>
    </row>
    <row r="667" spans="10:10" ht="15" thickBot="1" x14ac:dyDescent="0.4">
      <c r="J667" s="1"/>
    </row>
    <row r="668" spans="10:10" ht="15" thickBot="1" x14ac:dyDescent="0.4">
      <c r="J668" s="1"/>
    </row>
    <row r="669" spans="10:10" ht="15" thickBot="1" x14ac:dyDescent="0.4">
      <c r="J669" s="1"/>
    </row>
    <row r="670" spans="10:10" ht="15" thickBot="1" x14ac:dyDescent="0.4">
      <c r="J670" s="1"/>
    </row>
    <row r="671" spans="10:10" ht="15" thickBot="1" x14ac:dyDescent="0.4">
      <c r="J671" s="1"/>
    </row>
    <row r="672" spans="10:10" ht="15" thickBot="1" x14ac:dyDescent="0.4">
      <c r="J672" s="1"/>
    </row>
    <row r="673" spans="10:10" ht="15" thickBot="1" x14ac:dyDescent="0.4">
      <c r="J673" s="1"/>
    </row>
    <row r="674" spans="10:10" ht="15" thickBot="1" x14ac:dyDescent="0.4">
      <c r="J674" s="1"/>
    </row>
    <row r="675" spans="10:10" ht="15" thickBot="1" x14ac:dyDescent="0.4">
      <c r="J675" s="1"/>
    </row>
    <row r="676" spans="10:10" ht="15" thickBot="1" x14ac:dyDescent="0.4">
      <c r="J676" s="1"/>
    </row>
    <row r="677" spans="10:10" ht="15" thickBot="1" x14ac:dyDescent="0.4">
      <c r="J677" s="1"/>
    </row>
    <row r="678" spans="10:10" ht="15" thickBot="1" x14ac:dyDescent="0.4">
      <c r="J678" s="1"/>
    </row>
    <row r="679" spans="10:10" ht="15" thickBot="1" x14ac:dyDescent="0.4">
      <c r="J679" s="1"/>
    </row>
    <row r="680" spans="10:10" ht="15" thickBot="1" x14ac:dyDescent="0.4">
      <c r="J680" s="1"/>
    </row>
    <row r="681" spans="10:10" ht="15" thickBot="1" x14ac:dyDescent="0.4">
      <c r="J681" s="1"/>
    </row>
    <row r="682" spans="10:10" ht="15" thickBot="1" x14ac:dyDescent="0.4">
      <c r="J682" s="1"/>
    </row>
    <row r="683" spans="10:10" ht="15" thickBot="1" x14ac:dyDescent="0.4">
      <c r="J683" s="1"/>
    </row>
    <row r="684" spans="10:10" ht="15" thickBot="1" x14ac:dyDescent="0.4">
      <c r="J684" s="1"/>
    </row>
    <row r="685" spans="10:10" ht="15" thickBot="1" x14ac:dyDescent="0.4">
      <c r="J685" s="1"/>
    </row>
    <row r="686" spans="10:10" ht="15" thickBot="1" x14ac:dyDescent="0.4">
      <c r="J686" s="1"/>
    </row>
    <row r="687" spans="10:10" ht="15" thickBot="1" x14ac:dyDescent="0.4">
      <c r="J687" s="1"/>
    </row>
    <row r="688" spans="10:10" ht="15" thickBot="1" x14ac:dyDescent="0.4">
      <c r="J688" s="1"/>
    </row>
    <row r="689" spans="10:10" ht="15" thickBot="1" x14ac:dyDescent="0.4">
      <c r="J689" s="1"/>
    </row>
    <row r="690" spans="10:10" ht="15" thickBot="1" x14ac:dyDescent="0.4">
      <c r="J690" s="1"/>
    </row>
    <row r="691" spans="10:10" ht="15" thickBot="1" x14ac:dyDescent="0.4">
      <c r="J691" s="1"/>
    </row>
    <row r="692" spans="10:10" ht="15" thickBot="1" x14ac:dyDescent="0.4">
      <c r="J692" s="1"/>
    </row>
    <row r="693" spans="10:10" ht="15" thickBot="1" x14ac:dyDescent="0.4">
      <c r="J693" s="1"/>
    </row>
    <row r="694" spans="10:10" ht="15" thickBot="1" x14ac:dyDescent="0.4">
      <c r="J694" s="1"/>
    </row>
    <row r="695" spans="10:10" ht="15" thickBot="1" x14ac:dyDescent="0.4">
      <c r="J695" s="1"/>
    </row>
    <row r="696" spans="10:10" ht="15" thickBot="1" x14ac:dyDescent="0.4">
      <c r="J696" s="1"/>
    </row>
    <row r="697" spans="10:10" ht="15" thickBot="1" x14ac:dyDescent="0.4">
      <c r="J697" s="1"/>
    </row>
    <row r="698" spans="10:10" ht="15" thickBot="1" x14ac:dyDescent="0.4">
      <c r="J698" s="1"/>
    </row>
    <row r="699" spans="10:10" ht="15" thickBot="1" x14ac:dyDescent="0.4">
      <c r="J699" s="1"/>
    </row>
    <row r="700" spans="10:10" ht="15" thickBot="1" x14ac:dyDescent="0.4">
      <c r="J700" s="1"/>
    </row>
    <row r="701" spans="10:10" ht="15" thickBot="1" x14ac:dyDescent="0.4">
      <c r="J701" s="1"/>
    </row>
    <row r="702" spans="10:10" ht="15" thickBot="1" x14ac:dyDescent="0.4">
      <c r="J702" s="1"/>
    </row>
    <row r="703" spans="10:10" ht="15" thickBot="1" x14ac:dyDescent="0.4">
      <c r="J703" s="1"/>
    </row>
    <row r="704" spans="10:10" ht="15" thickBot="1" x14ac:dyDescent="0.4">
      <c r="J704" s="1"/>
    </row>
    <row r="705" spans="10:10" ht="15" thickBot="1" x14ac:dyDescent="0.4">
      <c r="J705" s="1"/>
    </row>
    <row r="706" spans="10:10" ht="15" thickBot="1" x14ac:dyDescent="0.4">
      <c r="J706" s="1"/>
    </row>
    <row r="707" spans="10:10" ht="15" thickBot="1" x14ac:dyDescent="0.4">
      <c r="J707" s="1"/>
    </row>
    <row r="708" spans="10:10" ht="15" thickBot="1" x14ac:dyDescent="0.4">
      <c r="J708" s="1"/>
    </row>
    <row r="709" spans="10:10" ht="15" thickBot="1" x14ac:dyDescent="0.4">
      <c r="J709" s="1"/>
    </row>
    <row r="710" spans="10:10" ht="15" thickBot="1" x14ac:dyDescent="0.4">
      <c r="J710" s="1"/>
    </row>
    <row r="711" spans="10:10" ht="15" thickBot="1" x14ac:dyDescent="0.4">
      <c r="J711" s="1"/>
    </row>
    <row r="712" spans="10:10" ht="15" thickBot="1" x14ac:dyDescent="0.4">
      <c r="J712" s="1"/>
    </row>
    <row r="713" spans="10:10" ht="15" thickBot="1" x14ac:dyDescent="0.4">
      <c r="J713" s="1"/>
    </row>
    <row r="714" spans="10:10" ht="15" thickBot="1" x14ac:dyDescent="0.4">
      <c r="J714" s="1"/>
    </row>
    <row r="715" spans="10:10" ht="15" thickBot="1" x14ac:dyDescent="0.4">
      <c r="J715" s="1"/>
    </row>
    <row r="716" spans="10:10" ht="15" thickBot="1" x14ac:dyDescent="0.4">
      <c r="J716" s="1"/>
    </row>
    <row r="717" spans="10:10" ht="15" thickBot="1" x14ac:dyDescent="0.4">
      <c r="J717" s="1"/>
    </row>
    <row r="718" spans="10:10" ht="15" thickBot="1" x14ac:dyDescent="0.4">
      <c r="J718" s="1"/>
    </row>
    <row r="719" spans="10:10" ht="15" thickBot="1" x14ac:dyDescent="0.4">
      <c r="J719" s="1"/>
    </row>
    <row r="720" spans="10:10" ht="15" thickBot="1" x14ac:dyDescent="0.4">
      <c r="J720" s="1"/>
    </row>
    <row r="721" spans="10:10" ht="15" thickBot="1" x14ac:dyDescent="0.4">
      <c r="J721" s="1"/>
    </row>
    <row r="722" spans="10:10" ht="15" thickBot="1" x14ac:dyDescent="0.4">
      <c r="J722" s="1"/>
    </row>
    <row r="723" spans="10:10" ht="15" thickBot="1" x14ac:dyDescent="0.4">
      <c r="J723" s="1"/>
    </row>
    <row r="724" spans="10:10" ht="15" thickBot="1" x14ac:dyDescent="0.4">
      <c r="J724" s="1"/>
    </row>
    <row r="725" spans="10:10" ht="15" thickBot="1" x14ac:dyDescent="0.4">
      <c r="J725" s="1"/>
    </row>
    <row r="726" spans="10:10" ht="15" thickBot="1" x14ac:dyDescent="0.4">
      <c r="J726" s="1"/>
    </row>
    <row r="727" spans="10:10" ht="15" thickBot="1" x14ac:dyDescent="0.4">
      <c r="J727" s="1"/>
    </row>
    <row r="728" spans="10:10" ht="15" thickBot="1" x14ac:dyDescent="0.4">
      <c r="J728" s="1"/>
    </row>
    <row r="729" spans="10:10" ht="15" thickBot="1" x14ac:dyDescent="0.4">
      <c r="J729" s="1"/>
    </row>
    <row r="730" spans="10:10" ht="15" thickBot="1" x14ac:dyDescent="0.4">
      <c r="J730" s="1"/>
    </row>
    <row r="731" spans="10:10" ht="15" thickBot="1" x14ac:dyDescent="0.4">
      <c r="J731" s="1"/>
    </row>
    <row r="732" spans="10:10" ht="15" thickBot="1" x14ac:dyDescent="0.4">
      <c r="J732" s="1"/>
    </row>
    <row r="733" spans="10:10" ht="15" thickBot="1" x14ac:dyDescent="0.4">
      <c r="J733" s="1"/>
    </row>
    <row r="734" spans="10:10" ht="15" thickBot="1" x14ac:dyDescent="0.4">
      <c r="J734" s="1"/>
    </row>
    <row r="735" spans="10:10" ht="15" thickBot="1" x14ac:dyDescent="0.4">
      <c r="J735" s="1"/>
    </row>
    <row r="736" spans="10:10" ht="15" thickBot="1" x14ac:dyDescent="0.4">
      <c r="J736" s="1"/>
    </row>
    <row r="737" spans="10:10" ht="15" thickBot="1" x14ac:dyDescent="0.4">
      <c r="J737" s="1"/>
    </row>
    <row r="738" spans="10:10" ht="15" thickBot="1" x14ac:dyDescent="0.4">
      <c r="J738" s="1"/>
    </row>
    <row r="739" spans="10:10" ht="15" thickBot="1" x14ac:dyDescent="0.4">
      <c r="J739" s="1"/>
    </row>
    <row r="740" spans="10:10" ht="15" thickBot="1" x14ac:dyDescent="0.4">
      <c r="J740" s="1"/>
    </row>
    <row r="741" spans="10:10" ht="15" thickBot="1" x14ac:dyDescent="0.4">
      <c r="J741" s="1"/>
    </row>
    <row r="742" spans="10:10" ht="15" thickBot="1" x14ac:dyDescent="0.4">
      <c r="J742" s="1"/>
    </row>
    <row r="743" spans="10:10" ht="15" thickBot="1" x14ac:dyDescent="0.4">
      <c r="J743" s="1"/>
    </row>
    <row r="744" spans="10:10" ht="15" thickBot="1" x14ac:dyDescent="0.4">
      <c r="J744" s="1"/>
    </row>
    <row r="745" spans="10:10" ht="15" thickBot="1" x14ac:dyDescent="0.4">
      <c r="J745" s="1"/>
    </row>
    <row r="746" spans="10:10" ht="15" thickBot="1" x14ac:dyDescent="0.4">
      <c r="J746" s="1"/>
    </row>
    <row r="747" spans="10:10" ht="15" thickBot="1" x14ac:dyDescent="0.4">
      <c r="J747" s="1"/>
    </row>
    <row r="748" spans="10:10" ht="15" thickBot="1" x14ac:dyDescent="0.4">
      <c r="J748" s="1"/>
    </row>
    <row r="749" spans="10:10" ht="15" thickBot="1" x14ac:dyDescent="0.4">
      <c r="J749" s="1"/>
    </row>
    <row r="750" spans="10:10" ht="15" thickBot="1" x14ac:dyDescent="0.4">
      <c r="J750" s="1"/>
    </row>
    <row r="751" spans="10:10" ht="15" thickBot="1" x14ac:dyDescent="0.4">
      <c r="J751" s="1"/>
    </row>
    <row r="752" spans="10:10" ht="15" thickBot="1" x14ac:dyDescent="0.4">
      <c r="J752" s="1"/>
    </row>
    <row r="753" spans="10:10" ht="15" thickBot="1" x14ac:dyDescent="0.4">
      <c r="J753" s="1"/>
    </row>
    <row r="754" spans="10:10" ht="15" thickBot="1" x14ac:dyDescent="0.4">
      <c r="J754" s="1"/>
    </row>
    <row r="755" spans="10:10" ht="15" thickBot="1" x14ac:dyDescent="0.4">
      <c r="J755" s="1"/>
    </row>
    <row r="756" spans="10:10" ht="15" thickBot="1" x14ac:dyDescent="0.4">
      <c r="J756" s="1"/>
    </row>
    <row r="757" spans="10:10" ht="15" thickBot="1" x14ac:dyDescent="0.4">
      <c r="J757" s="1"/>
    </row>
    <row r="758" spans="10:10" ht="15" thickBot="1" x14ac:dyDescent="0.4">
      <c r="J758" s="1"/>
    </row>
    <row r="759" spans="10:10" ht="15" thickBot="1" x14ac:dyDescent="0.4">
      <c r="J759" s="1"/>
    </row>
    <row r="760" spans="10:10" ht="15" thickBot="1" x14ac:dyDescent="0.4">
      <c r="J760" s="1"/>
    </row>
    <row r="761" spans="10:10" ht="15" thickBot="1" x14ac:dyDescent="0.4">
      <c r="J761" s="1"/>
    </row>
    <row r="762" spans="10:10" ht="15" thickBot="1" x14ac:dyDescent="0.4">
      <c r="J762" s="1"/>
    </row>
    <row r="763" spans="10:10" ht="15" thickBot="1" x14ac:dyDescent="0.4">
      <c r="J763" s="1"/>
    </row>
    <row r="764" spans="10:10" ht="15" thickBot="1" x14ac:dyDescent="0.4">
      <c r="J764" s="1"/>
    </row>
    <row r="765" spans="10:10" ht="15" thickBot="1" x14ac:dyDescent="0.4">
      <c r="J765" s="1"/>
    </row>
    <row r="766" spans="10:10" ht="15" thickBot="1" x14ac:dyDescent="0.4">
      <c r="J766" s="1"/>
    </row>
    <row r="767" spans="10:10" ht="15" thickBot="1" x14ac:dyDescent="0.4">
      <c r="J767" s="1"/>
    </row>
    <row r="768" spans="10:10" ht="15" thickBot="1" x14ac:dyDescent="0.4">
      <c r="J768" s="1"/>
    </row>
    <row r="769" spans="10:10" ht="15" thickBot="1" x14ac:dyDescent="0.4">
      <c r="J769" s="1"/>
    </row>
    <row r="770" spans="10:10" ht="15" thickBot="1" x14ac:dyDescent="0.4">
      <c r="J770" s="1"/>
    </row>
    <row r="771" spans="10:10" ht="15" thickBot="1" x14ac:dyDescent="0.4">
      <c r="J771" s="1"/>
    </row>
    <row r="772" spans="10:10" ht="15" thickBot="1" x14ac:dyDescent="0.4">
      <c r="J772" s="1"/>
    </row>
    <row r="773" spans="10:10" ht="15" thickBot="1" x14ac:dyDescent="0.4">
      <c r="J773" s="1"/>
    </row>
    <row r="774" spans="10:10" ht="15" thickBot="1" x14ac:dyDescent="0.4">
      <c r="J774" s="1"/>
    </row>
    <row r="775" spans="10:10" ht="15" thickBot="1" x14ac:dyDescent="0.4">
      <c r="J775" s="1"/>
    </row>
    <row r="776" spans="10:10" ht="15" thickBot="1" x14ac:dyDescent="0.4">
      <c r="J776" s="1"/>
    </row>
    <row r="777" spans="10:10" ht="15" thickBot="1" x14ac:dyDescent="0.4">
      <c r="J777" s="1"/>
    </row>
    <row r="778" spans="10:10" ht="15" thickBot="1" x14ac:dyDescent="0.4">
      <c r="J778" s="1"/>
    </row>
    <row r="779" spans="10:10" ht="15" thickBot="1" x14ac:dyDescent="0.4">
      <c r="J779" s="1"/>
    </row>
    <row r="780" spans="10:10" ht="15" thickBot="1" x14ac:dyDescent="0.4">
      <c r="J780" s="1"/>
    </row>
    <row r="781" spans="10:10" ht="15" thickBot="1" x14ac:dyDescent="0.4">
      <c r="J781" s="1"/>
    </row>
    <row r="782" spans="10:10" ht="15" thickBot="1" x14ac:dyDescent="0.4">
      <c r="J782" s="1"/>
    </row>
    <row r="783" spans="10:10" ht="15" thickBot="1" x14ac:dyDescent="0.4">
      <c r="J783" s="1"/>
    </row>
    <row r="784" spans="10:10" ht="15" thickBot="1" x14ac:dyDescent="0.4">
      <c r="J784" s="1"/>
    </row>
    <row r="785" spans="10:10" ht="15" thickBot="1" x14ac:dyDescent="0.4">
      <c r="J785" s="1"/>
    </row>
    <row r="786" spans="10:10" ht="15" thickBot="1" x14ac:dyDescent="0.4">
      <c r="J786" s="1"/>
    </row>
    <row r="787" spans="10:10" ht="15" thickBot="1" x14ac:dyDescent="0.4">
      <c r="J787" s="1"/>
    </row>
    <row r="788" spans="10:10" ht="15" thickBot="1" x14ac:dyDescent="0.4">
      <c r="J788" s="1"/>
    </row>
    <row r="789" spans="10:10" ht="15" thickBot="1" x14ac:dyDescent="0.4">
      <c r="J789" s="1"/>
    </row>
    <row r="790" spans="10:10" ht="15" thickBot="1" x14ac:dyDescent="0.4">
      <c r="J790" s="1"/>
    </row>
    <row r="791" spans="10:10" ht="15" thickBot="1" x14ac:dyDescent="0.4">
      <c r="J791" s="1"/>
    </row>
    <row r="792" spans="10:10" ht="15" thickBot="1" x14ac:dyDescent="0.4">
      <c r="J792" s="1"/>
    </row>
    <row r="793" spans="10:10" ht="15" thickBot="1" x14ac:dyDescent="0.4">
      <c r="J793" s="1"/>
    </row>
    <row r="794" spans="10:10" ht="15" thickBot="1" x14ac:dyDescent="0.4">
      <c r="J794" s="1"/>
    </row>
    <row r="795" spans="10:10" ht="15" thickBot="1" x14ac:dyDescent="0.4">
      <c r="J795" s="1"/>
    </row>
    <row r="796" spans="10:10" ht="15" thickBot="1" x14ac:dyDescent="0.4">
      <c r="J796" s="1"/>
    </row>
    <row r="797" spans="10:10" ht="15" thickBot="1" x14ac:dyDescent="0.4">
      <c r="J797" s="1"/>
    </row>
    <row r="798" spans="10:10" ht="15" thickBot="1" x14ac:dyDescent="0.4">
      <c r="J798" s="1"/>
    </row>
    <row r="799" spans="10:10" ht="15" thickBot="1" x14ac:dyDescent="0.4">
      <c r="J799" s="1"/>
    </row>
    <row r="800" spans="10:10" ht="15" thickBot="1" x14ac:dyDescent="0.4">
      <c r="J800" s="1"/>
    </row>
    <row r="801" spans="10:10" ht="15" thickBot="1" x14ac:dyDescent="0.4">
      <c r="J801" s="1"/>
    </row>
    <row r="802" spans="10:10" ht="15" thickBot="1" x14ac:dyDescent="0.4">
      <c r="J802" s="1"/>
    </row>
    <row r="803" spans="10:10" ht="15" thickBot="1" x14ac:dyDescent="0.4">
      <c r="J803" s="1"/>
    </row>
    <row r="804" spans="10:10" ht="15" thickBot="1" x14ac:dyDescent="0.4">
      <c r="J804" s="1"/>
    </row>
    <row r="805" spans="10:10" ht="15" thickBot="1" x14ac:dyDescent="0.4">
      <c r="J805" s="1"/>
    </row>
    <row r="806" spans="10:10" ht="15" thickBot="1" x14ac:dyDescent="0.4">
      <c r="J806" s="1"/>
    </row>
    <row r="807" spans="10:10" ht="15" thickBot="1" x14ac:dyDescent="0.4">
      <c r="J807" s="1"/>
    </row>
    <row r="808" spans="10:10" ht="15" thickBot="1" x14ac:dyDescent="0.4">
      <c r="J808" s="1"/>
    </row>
    <row r="809" spans="10:10" ht="15" thickBot="1" x14ac:dyDescent="0.4">
      <c r="J809" s="1"/>
    </row>
    <row r="810" spans="10:10" ht="15" thickBot="1" x14ac:dyDescent="0.4">
      <c r="J810" s="1"/>
    </row>
    <row r="811" spans="10:10" ht="15" thickBot="1" x14ac:dyDescent="0.4">
      <c r="J811" s="1"/>
    </row>
    <row r="812" spans="10:10" ht="15" thickBot="1" x14ac:dyDescent="0.4">
      <c r="J812" s="1"/>
    </row>
    <row r="813" spans="10:10" ht="15" thickBot="1" x14ac:dyDescent="0.4">
      <c r="J813" s="1"/>
    </row>
    <row r="814" spans="10:10" ht="15" thickBot="1" x14ac:dyDescent="0.4">
      <c r="J814" s="1"/>
    </row>
    <row r="815" spans="10:10" ht="15" thickBot="1" x14ac:dyDescent="0.4">
      <c r="J815" s="1"/>
    </row>
    <row r="816" spans="10:10" ht="15" thickBot="1" x14ac:dyDescent="0.4">
      <c r="J816" s="1"/>
    </row>
    <row r="817" spans="10:10" ht="15" thickBot="1" x14ac:dyDescent="0.4">
      <c r="J817" s="1"/>
    </row>
    <row r="818" spans="10:10" ht="15" thickBot="1" x14ac:dyDescent="0.4">
      <c r="J818" s="1"/>
    </row>
    <row r="819" spans="10:10" ht="15" thickBot="1" x14ac:dyDescent="0.4">
      <c r="J819" s="1"/>
    </row>
    <row r="820" spans="10:10" ht="15" thickBot="1" x14ac:dyDescent="0.4">
      <c r="J820" s="1"/>
    </row>
    <row r="821" spans="10:10" ht="15" thickBot="1" x14ac:dyDescent="0.4">
      <c r="J821" s="1"/>
    </row>
    <row r="822" spans="10:10" ht="15" thickBot="1" x14ac:dyDescent="0.4">
      <c r="J822" s="1"/>
    </row>
    <row r="823" spans="10:10" ht="15" thickBot="1" x14ac:dyDescent="0.4">
      <c r="J823" s="1"/>
    </row>
    <row r="824" spans="10:10" ht="15" thickBot="1" x14ac:dyDescent="0.4">
      <c r="J824" s="1"/>
    </row>
    <row r="825" spans="10:10" ht="15" thickBot="1" x14ac:dyDescent="0.4">
      <c r="J825" s="1"/>
    </row>
    <row r="826" spans="10:10" ht="15" thickBot="1" x14ac:dyDescent="0.4">
      <c r="J826" s="1"/>
    </row>
    <row r="827" spans="10:10" ht="15" thickBot="1" x14ac:dyDescent="0.4">
      <c r="J827" s="1"/>
    </row>
    <row r="828" spans="10:10" ht="15" thickBot="1" x14ac:dyDescent="0.4">
      <c r="J828" s="1"/>
    </row>
    <row r="829" spans="10:10" ht="15" thickBot="1" x14ac:dyDescent="0.4">
      <c r="J829" s="1"/>
    </row>
    <row r="830" spans="10:10" ht="15" thickBot="1" x14ac:dyDescent="0.4">
      <c r="J830" s="1"/>
    </row>
    <row r="831" spans="10:10" ht="15" thickBot="1" x14ac:dyDescent="0.4">
      <c r="J831" s="1"/>
    </row>
    <row r="832" spans="10:10" ht="15" thickBot="1" x14ac:dyDescent="0.4">
      <c r="J832" s="1"/>
    </row>
    <row r="833" spans="10:10" ht="15" thickBot="1" x14ac:dyDescent="0.4">
      <c r="J833" s="1"/>
    </row>
    <row r="834" spans="10:10" ht="15" thickBot="1" x14ac:dyDescent="0.4">
      <c r="J834" s="1"/>
    </row>
    <row r="835" spans="10:10" ht="15" thickBot="1" x14ac:dyDescent="0.4">
      <c r="J835" s="1"/>
    </row>
    <row r="836" spans="10:10" ht="15" thickBot="1" x14ac:dyDescent="0.4">
      <c r="J836" s="1"/>
    </row>
    <row r="837" spans="10:10" ht="15" thickBot="1" x14ac:dyDescent="0.4">
      <c r="J837" s="1"/>
    </row>
    <row r="838" spans="10:10" ht="15" thickBot="1" x14ac:dyDescent="0.4">
      <c r="J838" s="1"/>
    </row>
    <row r="839" spans="10:10" ht="15" thickBot="1" x14ac:dyDescent="0.4">
      <c r="J839" s="1"/>
    </row>
    <row r="840" spans="10:10" ht="15" thickBot="1" x14ac:dyDescent="0.4">
      <c r="J840" s="1"/>
    </row>
    <row r="841" spans="10:10" ht="15" thickBot="1" x14ac:dyDescent="0.4">
      <c r="J841" s="1"/>
    </row>
    <row r="842" spans="10:10" ht="15" thickBot="1" x14ac:dyDescent="0.4">
      <c r="J842" s="1"/>
    </row>
    <row r="843" spans="10:10" ht="15" thickBot="1" x14ac:dyDescent="0.4">
      <c r="J843" s="1"/>
    </row>
    <row r="844" spans="10:10" ht="15" thickBot="1" x14ac:dyDescent="0.4">
      <c r="J844" s="1"/>
    </row>
    <row r="845" spans="10:10" ht="15" thickBot="1" x14ac:dyDescent="0.4">
      <c r="J845" s="1"/>
    </row>
    <row r="846" spans="10:10" ht="15" thickBot="1" x14ac:dyDescent="0.4">
      <c r="J846" s="1"/>
    </row>
    <row r="847" spans="10:10" ht="15" thickBot="1" x14ac:dyDescent="0.4">
      <c r="J847" s="1"/>
    </row>
    <row r="848" spans="10:10" ht="15" thickBot="1" x14ac:dyDescent="0.4">
      <c r="J848" s="1"/>
    </row>
    <row r="849" spans="10:10" ht="15" thickBot="1" x14ac:dyDescent="0.4">
      <c r="J849" s="1"/>
    </row>
    <row r="850" spans="10:10" ht="15" thickBot="1" x14ac:dyDescent="0.4">
      <c r="J850" s="1"/>
    </row>
    <row r="851" spans="10:10" ht="15" thickBot="1" x14ac:dyDescent="0.4">
      <c r="J851" s="1"/>
    </row>
    <row r="852" spans="10:10" ht="15" thickBot="1" x14ac:dyDescent="0.4">
      <c r="J852" s="1"/>
    </row>
    <row r="853" spans="10:10" ht="15" thickBot="1" x14ac:dyDescent="0.4">
      <c r="J853" s="1"/>
    </row>
    <row r="854" spans="10:10" ht="15" thickBot="1" x14ac:dyDescent="0.4">
      <c r="J854" s="1"/>
    </row>
    <row r="855" spans="10:10" ht="15" thickBot="1" x14ac:dyDescent="0.4">
      <c r="J855" s="1"/>
    </row>
    <row r="856" spans="10:10" ht="15" thickBot="1" x14ac:dyDescent="0.4">
      <c r="J856" s="1"/>
    </row>
    <row r="857" spans="10:10" ht="15" thickBot="1" x14ac:dyDescent="0.4">
      <c r="J857" s="1"/>
    </row>
    <row r="858" spans="10:10" ht="15" thickBot="1" x14ac:dyDescent="0.4">
      <c r="J858" s="1"/>
    </row>
    <row r="859" spans="10:10" ht="15" thickBot="1" x14ac:dyDescent="0.4">
      <c r="J859" s="1"/>
    </row>
    <row r="860" spans="10:10" ht="15" thickBot="1" x14ac:dyDescent="0.4">
      <c r="J860" s="1"/>
    </row>
    <row r="861" spans="10:10" ht="15" thickBot="1" x14ac:dyDescent="0.4">
      <c r="J861" s="1"/>
    </row>
    <row r="862" spans="10:10" ht="15" thickBot="1" x14ac:dyDescent="0.4">
      <c r="J862" s="1"/>
    </row>
    <row r="863" spans="10:10" ht="15" thickBot="1" x14ac:dyDescent="0.4">
      <c r="J863" s="1"/>
    </row>
    <row r="864" spans="10:10" ht="15" thickBot="1" x14ac:dyDescent="0.4">
      <c r="J864" s="1"/>
    </row>
    <row r="865" spans="10:10" ht="15" thickBot="1" x14ac:dyDescent="0.4">
      <c r="J865" s="1"/>
    </row>
    <row r="866" spans="10:10" ht="15" thickBot="1" x14ac:dyDescent="0.4">
      <c r="J866" s="1"/>
    </row>
    <row r="867" spans="10:10" ht="15" thickBot="1" x14ac:dyDescent="0.4">
      <c r="J867" s="1"/>
    </row>
    <row r="868" spans="10:10" ht="15" thickBot="1" x14ac:dyDescent="0.4">
      <c r="J868" s="1"/>
    </row>
    <row r="869" spans="10:10" ht="15" thickBot="1" x14ac:dyDescent="0.4">
      <c r="J869" s="1"/>
    </row>
    <row r="870" spans="10:10" ht="15" thickBot="1" x14ac:dyDescent="0.4">
      <c r="J870" s="1"/>
    </row>
    <row r="871" spans="10:10" ht="15" thickBot="1" x14ac:dyDescent="0.4">
      <c r="J871" s="1"/>
    </row>
    <row r="872" spans="10:10" ht="15" thickBot="1" x14ac:dyDescent="0.4">
      <c r="J872" s="1"/>
    </row>
    <row r="873" spans="10:10" ht="15" thickBot="1" x14ac:dyDescent="0.4">
      <c r="J873" s="1"/>
    </row>
    <row r="874" spans="10:10" ht="15" thickBot="1" x14ac:dyDescent="0.4">
      <c r="J874" s="1"/>
    </row>
    <row r="875" spans="10:10" ht="15" thickBot="1" x14ac:dyDescent="0.4">
      <c r="J875" s="1"/>
    </row>
    <row r="876" spans="10:10" ht="15" thickBot="1" x14ac:dyDescent="0.4">
      <c r="J876" s="1"/>
    </row>
    <row r="877" spans="10:10" ht="15" thickBot="1" x14ac:dyDescent="0.4">
      <c r="J877" s="1"/>
    </row>
    <row r="878" spans="10:10" ht="15" thickBot="1" x14ac:dyDescent="0.4">
      <c r="J878" s="1"/>
    </row>
    <row r="879" spans="10:10" ht="15" thickBot="1" x14ac:dyDescent="0.4">
      <c r="J879" s="1"/>
    </row>
    <row r="880" spans="10:10" ht="15" thickBot="1" x14ac:dyDescent="0.4">
      <c r="J880" s="1"/>
    </row>
    <row r="881" spans="10:10" ht="15" thickBot="1" x14ac:dyDescent="0.4">
      <c r="J881" s="1"/>
    </row>
    <row r="882" spans="10:10" ht="15" thickBot="1" x14ac:dyDescent="0.4">
      <c r="J882" s="1"/>
    </row>
    <row r="883" spans="10:10" ht="15" thickBot="1" x14ac:dyDescent="0.4">
      <c r="J883" s="1"/>
    </row>
    <row r="884" spans="10:10" ht="15" thickBot="1" x14ac:dyDescent="0.4">
      <c r="J884" s="1"/>
    </row>
    <row r="885" spans="10:10" ht="15" thickBot="1" x14ac:dyDescent="0.4">
      <c r="J885" s="1"/>
    </row>
    <row r="886" spans="10:10" ht="15" thickBot="1" x14ac:dyDescent="0.4">
      <c r="J886" s="1"/>
    </row>
    <row r="887" spans="10:10" ht="15" thickBot="1" x14ac:dyDescent="0.4">
      <c r="J887" s="1"/>
    </row>
    <row r="888" spans="10:10" ht="15" thickBot="1" x14ac:dyDescent="0.4">
      <c r="J888" s="1"/>
    </row>
    <row r="889" spans="10:10" ht="15" thickBot="1" x14ac:dyDescent="0.4">
      <c r="J889" s="1"/>
    </row>
    <row r="890" spans="10:10" ht="15" thickBot="1" x14ac:dyDescent="0.4">
      <c r="J890" s="1"/>
    </row>
    <row r="891" spans="10:10" ht="15" thickBot="1" x14ac:dyDescent="0.4">
      <c r="J891" s="1"/>
    </row>
    <row r="892" spans="10:10" ht="15" thickBot="1" x14ac:dyDescent="0.4">
      <c r="J892" s="1"/>
    </row>
  </sheetData>
  <mergeCells count="1">
    <mergeCell ref="B204:D204"/>
  </mergeCells>
  <conditionalFormatting sqref="J1:J1048576">
    <cfRule type="top10" dxfId="1" priority="1" rank="10"/>
  </conditionalFormatting>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6999E-063C-45F7-AED4-A20771949BED}">
  <dimension ref="A1:U26"/>
  <sheetViews>
    <sheetView tabSelected="1" zoomScaleNormal="100" workbookViewId="0">
      <selection activeCell="Q4" sqref="Q4"/>
    </sheetView>
  </sheetViews>
  <sheetFormatPr defaultRowHeight="14.5" x14ac:dyDescent="0.35"/>
  <cols>
    <col min="16" max="16" width="9.08984375" customWidth="1"/>
  </cols>
  <sheetData>
    <row r="1" spans="1:21" ht="14.5" customHeight="1" x14ac:dyDescent="0.35">
      <c r="A1" s="57" t="s">
        <v>153</v>
      </c>
      <c r="B1" s="57"/>
      <c r="C1" s="57"/>
      <c r="D1" s="57"/>
      <c r="E1" s="57"/>
      <c r="F1" s="57"/>
      <c r="G1" s="57"/>
      <c r="H1" s="57"/>
      <c r="I1" s="57"/>
      <c r="J1" s="57"/>
      <c r="K1" s="57"/>
      <c r="L1" s="57"/>
      <c r="M1" s="57"/>
      <c r="N1" s="57"/>
      <c r="O1" s="57"/>
      <c r="P1" s="57"/>
      <c r="Q1" s="57"/>
      <c r="R1" s="57"/>
      <c r="S1" s="57"/>
      <c r="T1" s="52"/>
      <c r="U1" s="52"/>
    </row>
    <row r="2" spans="1:21" ht="14.5" customHeight="1" x14ac:dyDescent="0.35">
      <c r="A2" s="57"/>
      <c r="B2" s="57"/>
      <c r="C2" s="57"/>
      <c r="D2" s="57"/>
      <c r="E2" s="57"/>
      <c r="F2" s="57"/>
      <c r="G2" s="57"/>
      <c r="H2" s="57"/>
      <c r="I2" s="57"/>
      <c r="J2" s="57"/>
      <c r="K2" s="57"/>
      <c r="L2" s="57"/>
      <c r="M2" s="57"/>
      <c r="N2" s="57"/>
      <c r="O2" s="57"/>
      <c r="P2" s="57"/>
      <c r="Q2" s="57"/>
      <c r="R2" s="57"/>
      <c r="S2" s="57"/>
      <c r="T2" s="52"/>
      <c r="U2" s="52"/>
    </row>
    <row r="3" spans="1:21" ht="14.5" customHeight="1" x14ac:dyDescent="0.35">
      <c r="A3" s="57"/>
      <c r="B3" s="57"/>
      <c r="C3" s="57"/>
      <c r="D3" s="57"/>
      <c r="E3" s="57"/>
      <c r="F3" s="57"/>
      <c r="G3" s="57"/>
      <c r="H3" s="57"/>
      <c r="I3" s="57"/>
      <c r="J3" s="57"/>
      <c r="K3" s="57"/>
      <c r="L3" s="57"/>
      <c r="M3" s="57"/>
      <c r="N3" s="57"/>
      <c r="O3" s="57"/>
      <c r="P3" s="57"/>
      <c r="Q3" s="57"/>
      <c r="R3" s="57"/>
      <c r="S3" s="57"/>
      <c r="T3" s="52"/>
      <c r="U3" s="52"/>
    </row>
    <row r="4" spans="1:21" x14ac:dyDescent="0.35">
      <c r="A4" s="52"/>
      <c r="B4" s="52"/>
      <c r="C4" s="52"/>
      <c r="D4" s="52"/>
      <c r="E4" s="52"/>
      <c r="F4" s="52"/>
      <c r="G4" s="52"/>
      <c r="H4" s="52"/>
      <c r="I4" s="52"/>
      <c r="J4" s="52"/>
      <c r="K4" s="52"/>
      <c r="L4" s="52"/>
      <c r="M4" s="52"/>
      <c r="N4" s="52"/>
      <c r="O4" s="52"/>
      <c r="P4" s="53"/>
      <c r="Q4" s="53"/>
      <c r="R4" s="53"/>
      <c r="S4" s="53"/>
      <c r="T4" s="52"/>
      <c r="U4" s="52"/>
    </row>
    <row r="5" spans="1:21" x14ac:dyDescent="0.35">
      <c r="A5" s="52"/>
      <c r="B5" s="52"/>
      <c r="C5" s="52"/>
      <c r="D5" s="52"/>
      <c r="E5" s="52"/>
      <c r="F5" s="52"/>
      <c r="G5" s="52"/>
      <c r="H5" s="52"/>
      <c r="I5" s="52"/>
      <c r="J5" s="52"/>
      <c r="K5" s="52"/>
      <c r="L5" s="52"/>
      <c r="M5" s="52"/>
      <c r="N5" s="52"/>
      <c r="O5" s="52"/>
      <c r="P5" s="55" t="s">
        <v>155</v>
      </c>
      <c r="Q5" s="55"/>
      <c r="R5" s="55"/>
      <c r="S5" s="55"/>
      <c r="T5" s="52"/>
      <c r="U5" s="52"/>
    </row>
    <row r="6" spans="1:21" x14ac:dyDescent="0.35">
      <c r="A6" s="52"/>
      <c r="B6" s="52"/>
      <c r="C6" s="52"/>
      <c r="D6" s="52"/>
      <c r="E6" s="52"/>
      <c r="F6" s="52"/>
      <c r="G6" s="52"/>
      <c r="H6" s="52"/>
      <c r="I6" s="52"/>
      <c r="J6" s="52"/>
      <c r="K6" s="52"/>
      <c r="L6" s="52"/>
      <c r="M6" s="52"/>
      <c r="N6" s="52"/>
      <c r="O6" s="52"/>
      <c r="P6" s="58">
        <f>GETPIVOTDATA("Sales",'monthly sales growth'!$M$7)</f>
        <v>195217.75999999998</v>
      </c>
      <c r="Q6" s="58"/>
      <c r="R6" s="58"/>
      <c r="S6" s="58"/>
      <c r="T6" s="52"/>
      <c r="U6" s="52"/>
    </row>
    <row r="7" spans="1:21" x14ac:dyDescent="0.35">
      <c r="A7" s="52"/>
      <c r="B7" s="52"/>
      <c r="C7" s="52"/>
      <c r="D7" s="52"/>
      <c r="E7" s="52"/>
      <c r="F7" s="52"/>
      <c r="G7" s="52"/>
      <c r="H7" s="52"/>
      <c r="I7" s="52"/>
      <c r="J7" s="52"/>
      <c r="K7" s="52"/>
      <c r="L7" s="52"/>
      <c r="M7" s="52"/>
      <c r="N7" s="52"/>
      <c r="O7" s="52"/>
      <c r="P7" s="58"/>
      <c r="Q7" s="58"/>
      <c r="R7" s="58"/>
      <c r="S7" s="58"/>
      <c r="T7" s="52"/>
      <c r="U7" s="52"/>
    </row>
    <row r="8" spans="1:21" x14ac:dyDescent="0.35">
      <c r="A8" s="52"/>
      <c r="B8" s="52"/>
      <c r="C8" s="52"/>
      <c r="D8" s="52"/>
      <c r="E8" s="52"/>
      <c r="F8" s="52"/>
      <c r="G8" s="52"/>
      <c r="H8" s="52"/>
      <c r="I8" s="52"/>
      <c r="J8" s="52"/>
      <c r="K8" s="52"/>
      <c r="L8" s="52"/>
      <c r="M8" s="52"/>
      <c r="N8" s="52"/>
      <c r="O8" s="52"/>
      <c r="P8" s="54"/>
      <c r="Q8" s="54"/>
      <c r="R8" s="54"/>
      <c r="S8" s="54"/>
      <c r="T8" s="52"/>
      <c r="U8" s="52"/>
    </row>
    <row r="9" spans="1:21" x14ac:dyDescent="0.35">
      <c r="A9" s="52"/>
      <c r="B9" s="52"/>
      <c r="C9" s="52"/>
      <c r="D9" s="52"/>
      <c r="E9" s="52"/>
      <c r="F9" s="52"/>
      <c r="G9" s="52"/>
      <c r="H9" s="52"/>
      <c r="I9" s="52"/>
      <c r="J9" s="52"/>
      <c r="K9" s="52"/>
      <c r="L9" s="52"/>
      <c r="M9" s="52"/>
      <c r="N9" s="52"/>
      <c r="O9" s="52"/>
      <c r="P9" s="56" t="s">
        <v>154</v>
      </c>
      <c r="Q9" s="56"/>
      <c r="R9" s="56"/>
      <c r="S9" s="56"/>
      <c r="T9" s="52"/>
      <c r="U9" s="52"/>
    </row>
    <row r="10" spans="1:21" x14ac:dyDescent="0.35">
      <c r="A10" s="52"/>
      <c r="B10" s="52"/>
      <c r="C10" s="52"/>
      <c r="D10" s="52"/>
      <c r="E10" s="52"/>
      <c r="F10" s="52"/>
      <c r="G10" s="52"/>
      <c r="H10" s="52"/>
      <c r="I10" s="52"/>
      <c r="J10" s="52"/>
      <c r="K10" s="52"/>
      <c r="L10" s="52"/>
      <c r="M10" s="52"/>
      <c r="N10" s="52"/>
      <c r="O10" s="52"/>
      <c r="P10" s="59">
        <f>GETPIVOTDATA("Profit",'Line Chart'!$A$3)</f>
        <v>68287.009999999995</v>
      </c>
      <c r="Q10" s="59"/>
      <c r="R10" s="59"/>
      <c r="S10" s="59"/>
      <c r="T10" s="52"/>
      <c r="U10" s="52"/>
    </row>
    <row r="11" spans="1:21" x14ac:dyDescent="0.35">
      <c r="A11" s="52"/>
      <c r="B11" s="52"/>
      <c r="C11" s="52"/>
      <c r="D11" s="52"/>
      <c r="E11" s="52"/>
      <c r="F11" s="52"/>
      <c r="G11" s="52"/>
      <c r="H11" s="52"/>
      <c r="I11" s="52"/>
      <c r="J11" s="52"/>
      <c r="K11" s="52"/>
      <c r="L11" s="52"/>
      <c r="M11" s="52"/>
      <c r="N11" s="52"/>
      <c r="O11" s="52"/>
      <c r="P11" s="59"/>
      <c r="Q11" s="59"/>
      <c r="R11" s="59"/>
      <c r="S11" s="59"/>
      <c r="T11" s="52"/>
      <c r="U11" s="52"/>
    </row>
    <row r="12" spans="1:21" x14ac:dyDescent="0.35">
      <c r="A12" s="52"/>
      <c r="B12" s="52"/>
      <c r="C12" s="52"/>
      <c r="D12" s="52"/>
      <c r="E12" s="52"/>
      <c r="F12" s="52"/>
      <c r="G12" s="52"/>
      <c r="H12" s="52"/>
      <c r="I12" s="52"/>
      <c r="J12" s="52"/>
      <c r="K12" s="52"/>
      <c r="L12" s="52"/>
      <c r="M12" s="52"/>
      <c r="N12" s="52"/>
      <c r="O12" s="52"/>
      <c r="P12" s="52"/>
      <c r="Q12" s="52"/>
      <c r="R12" s="52"/>
      <c r="S12" s="52"/>
      <c r="T12" s="52"/>
      <c r="U12" s="52"/>
    </row>
    <row r="13" spans="1:21" x14ac:dyDescent="0.35">
      <c r="A13" s="52"/>
      <c r="B13" s="52"/>
      <c r="C13" s="52"/>
      <c r="D13" s="52"/>
      <c r="E13" s="52"/>
      <c r="F13" s="52"/>
      <c r="G13" s="52"/>
      <c r="H13" s="52"/>
      <c r="I13" s="52"/>
      <c r="J13" s="52"/>
      <c r="K13" s="52"/>
      <c r="L13" s="52"/>
      <c r="M13" s="52"/>
      <c r="N13" s="52"/>
      <c r="O13" s="52"/>
      <c r="P13" s="52"/>
      <c r="Q13" s="52"/>
      <c r="R13" s="52"/>
      <c r="S13" s="52"/>
      <c r="T13" s="52"/>
      <c r="U13" s="52"/>
    </row>
    <row r="14" spans="1:21" x14ac:dyDescent="0.35">
      <c r="A14" s="52"/>
      <c r="B14" s="52"/>
      <c r="C14" s="52"/>
      <c r="D14" s="52"/>
      <c r="E14" s="52"/>
      <c r="F14" s="52"/>
      <c r="G14" s="52"/>
      <c r="H14" s="52"/>
      <c r="I14" s="52"/>
      <c r="J14" s="52"/>
      <c r="K14" s="52"/>
      <c r="L14" s="52"/>
      <c r="M14" s="52"/>
      <c r="N14" s="52"/>
      <c r="O14" s="52"/>
      <c r="P14" s="52"/>
      <c r="Q14" s="52"/>
      <c r="R14" s="52"/>
      <c r="S14" s="52"/>
      <c r="T14" s="52"/>
      <c r="U14" s="52"/>
    </row>
    <row r="15" spans="1:21" x14ac:dyDescent="0.35">
      <c r="A15" s="52"/>
      <c r="B15" s="52"/>
      <c r="C15" s="52"/>
      <c r="D15" s="52"/>
      <c r="E15" s="52"/>
      <c r="F15" s="52"/>
      <c r="G15" s="52"/>
      <c r="H15" s="52"/>
      <c r="I15" s="52"/>
      <c r="J15" s="52"/>
      <c r="K15" s="52"/>
      <c r="L15" s="52"/>
      <c r="M15" s="52"/>
      <c r="N15" s="52"/>
      <c r="O15" s="52"/>
      <c r="P15" s="52"/>
      <c r="Q15" s="52"/>
      <c r="R15" s="52"/>
      <c r="S15" s="52"/>
      <c r="T15" s="52"/>
      <c r="U15" s="52"/>
    </row>
    <row r="16" spans="1:21" x14ac:dyDescent="0.35">
      <c r="A16" s="52"/>
      <c r="B16" s="52"/>
      <c r="C16" s="52"/>
      <c r="D16" s="52"/>
      <c r="E16" s="52"/>
      <c r="F16" s="52"/>
      <c r="G16" s="52"/>
      <c r="H16" s="52"/>
      <c r="I16" s="52"/>
      <c r="J16" s="52"/>
      <c r="K16" s="52"/>
      <c r="L16" s="52"/>
      <c r="M16" s="52"/>
      <c r="N16" s="52"/>
      <c r="O16" s="52"/>
      <c r="P16" s="52"/>
      <c r="Q16" s="52"/>
      <c r="R16" s="52"/>
      <c r="S16" s="52"/>
      <c r="T16" s="52"/>
      <c r="U16" s="52"/>
    </row>
    <row r="17" spans="1:21" x14ac:dyDescent="0.35">
      <c r="A17" s="52"/>
      <c r="B17" s="52"/>
      <c r="C17" s="52"/>
      <c r="D17" s="52"/>
      <c r="E17" s="52"/>
      <c r="F17" s="52"/>
      <c r="G17" s="52"/>
      <c r="H17" s="52"/>
      <c r="I17" s="52"/>
      <c r="J17" s="52"/>
      <c r="K17" s="52"/>
      <c r="L17" s="52"/>
      <c r="M17" s="52"/>
      <c r="N17" s="52"/>
      <c r="O17" s="52"/>
      <c r="P17" s="52"/>
      <c r="Q17" s="52"/>
      <c r="R17" s="52"/>
      <c r="S17" s="52"/>
      <c r="T17" s="52"/>
      <c r="U17" s="52"/>
    </row>
    <row r="18" spans="1:21" x14ac:dyDescent="0.35">
      <c r="A18" s="52"/>
      <c r="B18" s="52"/>
      <c r="C18" s="52"/>
      <c r="D18" s="52"/>
      <c r="E18" s="52"/>
      <c r="F18" s="52"/>
      <c r="G18" s="52"/>
      <c r="H18" s="52"/>
      <c r="I18" s="52"/>
      <c r="J18" s="52"/>
      <c r="K18" s="52"/>
      <c r="L18" s="52"/>
      <c r="M18" s="52"/>
      <c r="N18" s="52"/>
      <c r="O18" s="52"/>
      <c r="P18" s="52"/>
      <c r="Q18" s="52"/>
      <c r="R18" s="52"/>
      <c r="S18" s="52"/>
      <c r="T18" s="52"/>
      <c r="U18" s="52"/>
    </row>
    <row r="19" spans="1:21" x14ac:dyDescent="0.35">
      <c r="A19" s="52"/>
      <c r="B19" s="52"/>
      <c r="C19" s="52"/>
      <c r="D19" s="52"/>
      <c r="E19" s="52"/>
      <c r="F19" s="52"/>
      <c r="G19" s="52"/>
      <c r="H19" s="52"/>
      <c r="I19" s="52"/>
      <c r="J19" s="52"/>
      <c r="K19" s="52"/>
      <c r="L19" s="52"/>
      <c r="M19" s="52"/>
      <c r="N19" s="52"/>
      <c r="O19" s="52"/>
      <c r="P19" s="52"/>
      <c r="Q19" s="52"/>
      <c r="R19" s="52"/>
      <c r="S19" s="52"/>
      <c r="T19" s="52"/>
      <c r="U19" s="52"/>
    </row>
    <row r="20" spans="1:21" x14ac:dyDescent="0.35">
      <c r="A20" s="52"/>
      <c r="B20" s="52"/>
      <c r="C20" s="52"/>
      <c r="D20" s="52"/>
      <c r="E20" s="52"/>
      <c r="F20" s="52"/>
      <c r="G20" s="52"/>
      <c r="H20" s="52"/>
      <c r="I20" s="52"/>
      <c r="J20" s="52"/>
      <c r="K20" s="52"/>
      <c r="L20" s="52"/>
      <c r="M20" s="52"/>
      <c r="N20" s="52"/>
      <c r="O20" s="52"/>
      <c r="P20" s="52"/>
      <c r="Q20" s="52"/>
      <c r="R20" s="52"/>
      <c r="S20" s="52"/>
      <c r="T20" s="52"/>
      <c r="U20" s="52"/>
    </row>
    <row r="21" spans="1:21" x14ac:dyDescent="0.35">
      <c r="A21" s="52"/>
      <c r="B21" s="52"/>
      <c r="C21" s="52"/>
      <c r="D21" s="52"/>
      <c r="E21" s="52"/>
      <c r="F21" s="52"/>
      <c r="G21" s="52"/>
      <c r="H21" s="52"/>
      <c r="I21" s="52"/>
      <c r="J21" s="52"/>
      <c r="K21" s="52"/>
      <c r="L21" s="52"/>
      <c r="M21" s="52"/>
      <c r="N21" s="52"/>
      <c r="O21" s="52"/>
      <c r="P21" s="52"/>
      <c r="Q21" s="52"/>
      <c r="R21" s="52"/>
      <c r="S21" s="52"/>
      <c r="T21" s="52"/>
      <c r="U21" s="52"/>
    </row>
    <row r="22" spans="1:21" x14ac:dyDescent="0.35">
      <c r="A22" s="52"/>
      <c r="B22" s="52"/>
      <c r="C22" s="52"/>
      <c r="D22" s="52"/>
      <c r="E22" s="52"/>
      <c r="F22" s="52"/>
      <c r="G22" s="52"/>
      <c r="H22" s="52"/>
      <c r="I22" s="52"/>
      <c r="J22" s="52"/>
      <c r="K22" s="52"/>
      <c r="L22" s="52"/>
      <c r="M22" s="52"/>
      <c r="N22" s="52"/>
      <c r="O22" s="52"/>
      <c r="P22" s="52"/>
      <c r="Q22" s="52"/>
      <c r="R22" s="52"/>
      <c r="S22" s="52"/>
      <c r="T22" s="52"/>
      <c r="U22" s="52"/>
    </row>
    <row r="23" spans="1:21" x14ac:dyDescent="0.35">
      <c r="A23" s="52"/>
      <c r="B23" s="52"/>
      <c r="C23" s="52"/>
      <c r="D23" s="52"/>
      <c r="E23" s="52"/>
      <c r="F23" s="52"/>
      <c r="G23" s="52"/>
      <c r="H23" s="52"/>
      <c r="I23" s="52"/>
      <c r="J23" s="52"/>
      <c r="K23" s="52"/>
      <c r="L23" s="52"/>
      <c r="M23" s="52"/>
      <c r="N23" s="52"/>
      <c r="O23" s="52"/>
      <c r="P23" s="52"/>
      <c r="Q23" s="52"/>
      <c r="R23" s="52"/>
      <c r="S23" s="52"/>
      <c r="T23" s="52"/>
      <c r="U23" s="52"/>
    </row>
    <row r="24" spans="1:21" x14ac:dyDescent="0.35">
      <c r="A24" s="52"/>
      <c r="B24" s="52"/>
      <c r="C24" s="52"/>
      <c r="D24" s="52"/>
      <c r="E24" s="52"/>
      <c r="F24" s="52"/>
      <c r="G24" s="52"/>
      <c r="H24" s="52"/>
      <c r="I24" s="52"/>
      <c r="J24" s="52"/>
      <c r="K24" s="52"/>
      <c r="L24" s="52"/>
      <c r="M24" s="52"/>
      <c r="N24" s="52"/>
      <c r="O24" s="52"/>
      <c r="P24" s="52"/>
      <c r="Q24" s="52"/>
      <c r="R24" s="52"/>
      <c r="S24" s="52"/>
      <c r="T24" s="52"/>
      <c r="U24" s="52"/>
    </row>
    <row r="25" spans="1:21" x14ac:dyDescent="0.35">
      <c r="A25" s="52"/>
      <c r="B25" s="52"/>
      <c r="C25" s="52"/>
      <c r="D25" s="52"/>
      <c r="E25" s="52"/>
      <c r="F25" s="52"/>
      <c r="G25" s="52"/>
      <c r="H25" s="52"/>
      <c r="I25" s="52"/>
      <c r="J25" s="52"/>
      <c r="K25" s="52"/>
      <c r="L25" s="52"/>
      <c r="M25" s="52"/>
      <c r="N25" s="52"/>
      <c r="O25" s="52"/>
      <c r="P25" s="52"/>
      <c r="Q25" s="52"/>
      <c r="R25" s="52"/>
      <c r="S25" s="52"/>
      <c r="T25" s="52"/>
      <c r="U25" s="52"/>
    </row>
    <row r="26" spans="1:21" x14ac:dyDescent="0.35">
      <c r="A26" s="52"/>
      <c r="B26" s="52"/>
      <c r="C26" s="52"/>
      <c r="D26" s="52"/>
      <c r="E26" s="52"/>
      <c r="F26" s="52"/>
      <c r="G26" s="52"/>
      <c r="H26" s="52"/>
      <c r="I26" s="52"/>
      <c r="J26" s="52"/>
      <c r="K26" s="52"/>
      <c r="L26" s="52"/>
      <c r="M26" s="52"/>
      <c r="N26" s="52"/>
      <c r="O26" s="52"/>
      <c r="P26" s="52"/>
      <c r="Q26" s="52"/>
      <c r="R26" s="52"/>
      <c r="S26" s="52"/>
      <c r="T26" s="52"/>
      <c r="U26" s="52"/>
    </row>
  </sheetData>
  <mergeCells count="5">
    <mergeCell ref="P6:S7"/>
    <mergeCell ref="P10:S11"/>
    <mergeCell ref="P9:S9"/>
    <mergeCell ref="P5:S5"/>
    <mergeCell ref="A1:S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6E53E-2B4B-4BDE-8072-E9DE84060BC0}">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Linear Regression</vt:lpstr>
      <vt:lpstr>Descriptive Statistics</vt:lpstr>
      <vt:lpstr>Conditional Formatting</vt:lpstr>
      <vt:lpstr>What-if</vt:lpstr>
      <vt:lpstr>Pivot Table</vt:lpstr>
      <vt:lpstr>Pie Chart</vt:lpstr>
      <vt:lpstr>Bar Chart</vt:lpstr>
      <vt:lpstr>Donut Chart</vt:lpstr>
      <vt:lpstr>Line Chart</vt:lpstr>
      <vt:lpstr>Data</vt:lpstr>
      <vt:lpstr>Sheet12</vt:lpstr>
      <vt:lpstr>monthly sales growth</vt:lpstr>
      <vt:lpstr>Now()</vt:lpstr>
      <vt:lpstr>Top 10</vt:lpstr>
      <vt:lpstr>Dash</vt:lpstr>
      <vt:lpstr>Sheet10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dc:creator>
  <cp:lastModifiedBy>Harsh Raychur</cp:lastModifiedBy>
  <cp:lastPrinted>2026-01-07T11:49:12Z</cp:lastPrinted>
  <dcterms:created xsi:type="dcterms:W3CDTF">2026-01-05T08:34:15Z</dcterms:created>
  <dcterms:modified xsi:type="dcterms:W3CDTF">2026-01-08T12:37:33Z</dcterms:modified>
</cp:coreProperties>
</file>